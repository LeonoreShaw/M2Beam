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992bce4ce5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23f3ea7182944797"/>
    <x:sheet xmlns:r="http://schemas.openxmlformats.org/officeDocument/2006/relationships" name="原始数据" sheetId="2" r:id="R05523f23ee394e95"/>
    <x:sheet xmlns:r="http://schemas.openxmlformats.org/officeDocument/2006/relationships" name="拟合与方案" sheetId="3" r:id="R8e9715221f6944ef"/>
    <x:sheet xmlns:r="http://schemas.openxmlformats.org/officeDocument/2006/relationships" name="模型曲线" sheetId="4" r:id="R9f94b3463c0846d0"/>
    <x:sheet xmlns:r="http://schemas.openxmlformats.org/officeDocument/2006/relationships" name="灵敏度" sheetId="5" r:id="R944fc95e6dad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%"/>
    <x:numFmt numFmtId="202" formatCode="0.000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5B4200"/>
      <x:name val="Carlito"/>
    </x:font>
    <x:font>
      <x:b/>
      <x:sz val="16"/>
      <x:color rgb="FFFFFFFF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F3EF"/>
      </x:patternFill>
    </x:fill>
    <x:fill>
      <x:patternFill patternType="solid">
        <x:fgColor rgb="FFE8F0F7"/>
      </x:patternFill>
    </x:fill>
    <x:fill>
      <x:patternFill patternType="solid">
        <x:fgColor rgb="FFFFF4D6"/>
      </x:patternFill>
    </x:fill>
    <x:fill>
      <x:patternFill patternType="solid">
        <x:fgColor rgb="FFF9E8F3"/>
      </x:patternFill>
    </x:fill>
    <x:fill>
      <x:patternFill patternType="solid">
        <x:fgColor rgb="FFF2F4F7"/>
      </x:patternFill>
    </x:fill>
  </x:fills>
  <x:borders count="15">
    <x:border/>
    <x:border>
      <x:left style="thin">
        <x:color rgb="FFC8D2DC"/>
      </x:left>
      <x:top style="thin">
        <x:color rgb="FFC8D2DC"/>
      </x:top>
    </x:border>
    <x:border>
      <x:right style="thin">
        <x:color rgb="FFC8D2DC"/>
      </x:right>
      <x:top style="thin">
        <x:color rgb="FFC8D2DC"/>
      </x:top>
    </x:border>
    <x:border>
      <x:left style="thin">
        <x:color rgb="FFC8D2DC"/>
      </x:left>
    </x:border>
    <x:border>
      <x:right style="thin">
        <x:color rgb="FFC8D2DC"/>
      </x:right>
    </x:border>
    <x:border>
      <x:left style="thin">
        <x:color rgb="FFC8D2DC"/>
      </x:left>
      <x:bottom style="thin">
        <x:color rgb="FFC8D2DC"/>
      </x:bottom>
    </x:border>
    <x:border>
      <x:right style="thin">
        <x:color rgb="FFC8D2DC"/>
      </x:right>
      <x:bottom style="thin">
        <x:color rgb="FFC8D2DC"/>
      </x:bottom>
    </x:border>
    <x:border>
      <x:left style="thin">
        <x:color rgb="FFE69F00"/>
      </x:left>
      <x:top style="thin">
        <x:color rgb="FFE69F00"/>
      </x:top>
    </x:border>
    <x:border>
      <x:top style="thin">
        <x:color rgb="FFE69F00"/>
      </x:top>
    </x:border>
    <x:border>
      <x:right style="thin">
        <x:color rgb="FFE69F00"/>
      </x:right>
      <x:top style="thin">
        <x:color rgb="FFE69F00"/>
      </x:top>
    </x:border>
    <x:border>
      <x:left style="thin">
        <x:color rgb="FFE69F00"/>
      </x:left>
      <x:bottom style="thin">
        <x:color rgb="FFE69F00"/>
      </x:bottom>
    </x:border>
    <x:border>
      <x:bottom style="thin">
        <x:color rgb="FFE69F00"/>
      </x:bottom>
    </x:border>
    <x:border>
      <x:right style="thin">
        <x:color rgb="FFE69F00"/>
      </x:right>
      <x:bottom style="thin">
        <x:color rgb="FFE69F00"/>
      </x:bottom>
    </x:border>
    <x:border>
      <x:top style="thin">
        <x:color rgb="FFC8D2DC"/>
      </x:top>
    </x:border>
    <x:border>
      <x:bottom style="thin">
        <x:color rgb="FFC8D2DC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1" fontId="0" fillId="0" borderId="4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200" fontId="0" fillId="3" borderId="4" xfId="0" applyNumberFormat="1" applyFont="1" applyFill="1" applyBorder="1"/>
    <x:xf numFmtId="201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4" borderId="1" xfId="0" applyNumberFormat="1" applyFont="1" applyFill="1" applyBorder="1"/>
    <x:xf numFmtId="200" fontId="0" fillId="4" borderId="2" xfId="0" applyNumberFormat="1" applyFont="1" applyFill="1" applyBorder="1"/>
    <x:xf numFmtId="0" fontId="0" fillId="4" borderId="3" xfId="0" applyNumberFormat="1" applyFont="1" applyFill="1" applyBorder="1"/>
    <x:xf numFmtId="200" fontId="0" fillId="4" borderId="4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9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3" fillId="5" borderId="12" xfId="0" applyNumberFormat="1" applyFont="1" applyFill="1" applyBorder="1"/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wrapText="1"/>
    </x:xf>
    <x:xf numFmtId="0" fontId="3" fillId="5" borderId="10" xfId="0" applyNumberFormat="1" applyFont="1" applyFill="1" applyBorder="1" applyAlignment="1">
      <x:alignment wrapText="1"/>
    </x:xf>
    <x:xf numFmtId="0" fontId="3" fillId="5" borderId="11" xfId="0" applyNumberFormat="1" applyFont="1" applyFill="1" applyBorder="1" applyAlignment="1">
      <x:alignment wrapText="1"/>
    </x:xf>
    <x:xf numFmtId="0" fontId="3" fillId="5" borderId="12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3" fillId="5" borderId="10" xfId="0" applyNumberFormat="1" applyFont="1" applyFill="1" applyBorder="1" applyAlignment="1">
      <x:alignment vertical="center" wrapText="1"/>
    </x:xf>
    <x:xf numFmtId="0" fontId="3" fillId="5" borderId="11" xfId="0" applyNumberFormat="1" applyFont="1" applyFill="1" applyBorder="1" applyAlignment="1">
      <x:alignment vertical="center" wrapText="1"/>
    </x:xf>
    <x:xf numFmtId="0" fontId="3" fillId="5" borderId="1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6" borderId="0" xfId="0" applyNumberFormat="1" applyFont="1" applyFill="1" applyBorder="1"/>
    <x:xf numFmtId="200" fontId="0" fillId="3" borderId="0" xfId="0" applyNumberFormat="1" applyFont="1" applyFill="1" applyBorder="1"/>
    <x:xf numFmtId="200" fontId="0" fillId="6" borderId="0" xfId="0" applyNumberFormat="1" applyFont="1" applyFill="1" applyBorder="1"/>
    <x:xf numFmtId="201" fontId="0" fillId="3" borderId="0" xfId="0" applyNumberFormat="1" applyFont="1" applyFill="1" applyBorder="1"/>
    <x:xf numFmtId="201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3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14" xfId="0" applyNumberFormat="1" applyFont="1" applyFill="1" applyBorder="1"/>
    <x:xf numFmtId="0" fontId="0" fillId="7" borderId="6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3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14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7" borderId="13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202" fontId="5" fillId="0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1" fontId="5" fillId="3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201" fontId="5" fillId="6" borderId="0" xfId="0" applyNumberFormat="1" applyFont="1" applyFill="1" applyBorder="1"/>
    <x:xf numFmtId="0" fontId="5" fillId="7" borderId="1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7b10849c0448c" /><Relationship Type="http://schemas.openxmlformats.org/officeDocument/2006/relationships/theme" Target="/xl/theme/theme1.xml" Id="R6ca48ac91a6844f5" /><Relationship Type="http://schemas.openxmlformats.org/officeDocument/2006/relationships/sharedStrings" Target="/xl/sharedStrings.xml" Id="R2541f24dcaa0432c" /><Relationship Type="http://schemas.openxmlformats.org/officeDocument/2006/relationships/worksheet" Target="/xl/worksheets/sheet1.xml" Id="R23f3ea7182944797" /><Relationship Type="http://schemas.openxmlformats.org/officeDocument/2006/relationships/worksheet" Target="/xl/worksheets/sheet2.xml" Id="R05523f23ee394e95" /><Relationship Type="http://schemas.openxmlformats.org/officeDocument/2006/relationships/worksheet" Target="/xl/worksheets/sheet3.xml" Id="R8e9715221f6944ef" /><Relationship Type="http://schemas.openxmlformats.org/officeDocument/2006/relationships/worksheet" Target="/xl/worksheets/sheet4.xml" Id="R9f94b3463c0846d0" /><Relationship Type="http://schemas.openxmlformats.org/officeDocument/2006/relationships/worksheet" Target="/xl/worksheets/sheet5.xml" Id="R944fc95e6dad42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101903c9074a5a" /><Relationship Type="http://schemas.openxmlformats.org/officeDocument/2006/relationships/chart" Target="/xl/drawings/charts/chart2.xml" Id="R81b9b5947aa34f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D4σ 焦散对比 (µm)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原始 X</c:v>
          </c:tx>
          <c:spPr>
            <a:solidFill xmlns:a="http://schemas.openxmlformats.org/drawingml/2006/main">
              <a:srgbClr val="D55E00"/>
            </a:solidFill>
          </c:spPr>
          <c:marker>
            <c:symbol val="none"/>
          </c:marker>
          <c:cat>
            <c:strRef>
              <c:f>'模型曲线'!$A$2:$A$482</c:f>
              <c:strCache>
                <c:ptCount val="0"/>
              </c:strCache>
            </c:strRef>
          </c:cat>
          <c:val>
            <c:numRef>
              <c:f>'模型曲线'!$B$2:$B$482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原始 Y</c:v>
          </c:tx>
          <c:spPr>
            <a:solidFill xmlns:a="http://schemas.openxmlformats.org/drawingml/2006/main">
              <a:srgbClr val="0072B2"/>
            </a:solidFill>
          </c:spPr>
          <c:marker>
            <c:symbol val="none"/>
          </c:marker>
          <c:cat>
            <c:strRef>
              <c:f>'模型曲线'!$A$2:$A$482</c:f>
              <c:strCache>
                <c:ptCount val="0"/>
              </c:strCache>
            </c:strRef>
          </c:cat>
          <c:val>
            <c:numRef>
              <c:f>'模型曲线'!$C$2:$C$482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推荐后 X</c:v>
          </c:tx>
          <c:spPr>
            <a:solidFill xmlns:a="http://schemas.openxmlformats.org/drawingml/2006/main">
              <a:srgbClr val="008C7A"/>
            </a:solidFill>
          </c:spPr>
          <c:marker>
            <c:symbol val="none"/>
          </c:marker>
          <c:cat>
            <c:strRef>
              <c:f>'模型曲线'!$A$2:$A$482</c:f>
              <c:strCache>
                <c:ptCount val="0"/>
              </c:strCache>
            </c:strRef>
          </c:cat>
          <c:val>
            <c:numRef>
              <c:f>'模型曲线'!$E$2:$E$482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焦点附近椭圆率（长轴/短轴）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原始</c:v>
          </c:tx>
          <c:spPr>
            <a:solidFill xmlns:a="http://schemas.openxmlformats.org/drawingml/2006/main">
              <a:srgbClr val="667085"/>
            </a:solidFill>
          </c:spPr>
          <c:marker>
            <c:symbol val="none"/>
          </c:marker>
          <c:cat>
            <c:strRef>
              <c:f>'模型曲线'!$A$182:$A$302</c:f>
              <c:strCache>
                <c:ptCount val="0"/>
              </c:strCache>
            </c:strRef>
          </c:cat>
          <c:val>
            <c:numRef>
              <c:f>'模型曲线'!$D$182:$D$302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推荐 +50 mm</c:v>
          </c:tx>
          <c:spPr>
            <a:solidFill xmlns:a="http://schemas.openxmlformats.org/drawingml/2006/main">
              <a:srgbClr val="008C7A"/>
            </a:solidFill>
          </c:spPr>
          <c:marker>
            <c:symbol val="none"/>
          </c:marker>
          <c:cat>
            <c:strRef>
              <c:f>'模型曲线'!$A$182:$A$302</c:f>
              <c:strCache>
                <c:ptCount val="0"/>
              </c:strCache>
            </c:strRef>
          </c:cat>
          <c:val>
            <c:numRef>
              <c:f>'模型曲线'!$G$182:$G$302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单点 +25.4 mm</c:v>
          </c:tx>
          <c:spPr>
            <a:solidFill xmlns:a="http://schemas.openxmlformats.org/drawingml/2006/main">
              <a:srgbClr val="CC79A7"/>
            </a:solidFill>
          </c:spPr>
          <c:marker>
            <c:symbol val="none"/>
          </c:marker>
          <c:cat>
            <c:strRef>
              <c:f>'模型曲线'!$A$182:$A$302</c:f>
              <c:strCache>
                <c:ptCount val="0"/>
              </c:strCache>
            </c:strRef>
          </c:cat>
          <c:val>
            <c:numRef>
              <c:f>'模型曲线'!$J$182:$J$302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2"/>
          <c:min val="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5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101903c9074a5a"/>
        </a:graphicData>
      </a:graphic>
    </xdr:graphicFrame>
    <xdr:clientData/>
  </xdr:twoCellAnchor>
  <xdr:twoCellAnchor>
    <xdr:from>
      <xdr:col>5</xdr:col>
      <xdr:colOff>0</xdr:colOff>
      <xdr:row>14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b9b5947aa34f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D4SigmaTable" displayName="RawD4SigmaTable" ref="A1:F16" headerRowCount="1" totalsRowCount="0" totalsRowShown="0">
  <x:tableColumns count="6">
    <x:tableColumn id="1" name="z_mm"/>
    <x:tableColumn id="2" name="D4σX_µm"/>
    <x:tableColumn id="3" name="D4σY_µm"/>
    <x:tableColumn id="4" name="椭圆率"/>
    <x:tableColumn id="5" name="圆度"/>
    <x:tableColumn id="6" name="源文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CurveTable" displayName="ModelCurveTable" ref="A1:J482" headerRowCount="1" totalsRowCount="0" totalsRowShown="0">
  <x:tableColumns count="10">
    <x:tableColumn id="1" name="z_mm"/>
    <x:tableColumn id="2" name="原始X_µm"/>
    <x:tableColumn id="3" name="原始Y_µm"/>
    <x:tableColumn id="4" name="原始椭圆率"/>
    <x:tableColumn id="5" name="推荐X_µm"/>
    <x:tableColumn id="6" name="推荐Y_µm"/>
    <x:tableColumn id="7" name="推荐椭圆率"/>
    <x:tableColumn id="8" name="单点X_µm"/>
    <x:tableColumn id="9" name="单点Y_µm"/>
    <x:tableColumn id="10" name="单点椭圆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nsitivityTable" displayName="SensitivityTable" ref="A1:D46" headerRowCount="1" totalsRowCount="0" totalsRowShown="0">
  <x:tableColumns count="4">
    <x:tableColumn id="1" name="位置误差_mm"/>
    <x:tableColumn id="2" name="焦距误差_%"/>
    <x:tableColumn id="3" name="220–250最大椭圆率"/>
    <x:tableColumn id="4" name="220–250平均椭圆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ad920deb7841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4502b29d3c41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5b181705f1a43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bfb8b742a324b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25" hidden="0" customWidth="1"/>
    <x:col min="5" max="5" width="22" hidden="0" customWidth="1"/>
    <x:col min="6" max="6" width="15" hidden="0" customWidth="1"/>
    <x:col min="7" max="7" width="26" hidden="0" customWidth="1"/>
    <x:col min="8" max="8" width="23" hidden="0" customWidth="1"/>
    <x:col min="9" max="9" width="15" hidden="0" customWidth="1"/>
    <x:col min="10" max="10" width="15" hidden="0" customWidth="1"/>
  </x:cols>
  <x:sheetData>
    <x:row r="1" ht="34" customHeight="1">
      <x:c r="A1" s="4" t="str">
        <x:v>D4σ 柱面镜椭圆率改善方案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5" t="str">
        <x:v>原始状态</x:v>
      </x:c>
      <x:c r="B3" s="5" t="str">
        <x:v>数值</x:v>
      </x:c>
      <x:c r="D3" s="5" t="str">
        <x:v>推荐标准件方案</x:v>
      </x:c>
      <x:c r="E3" s="5" t="str">
        <x:v>数值</x:v>
      </x:c>
      <x:c r="G3" s="5" t="str">
        <x:v>物理边界 / 验证</x:v>
      </x:c>
      <x:c r="H3" s="5" t="str">
        <x:v>数值</x:v>
      </x:c>
    </x:row>
    <x:row r="4">
      <x:c r="A4" s="6" t="str">
        <x:v>X 束腰 D4σ (µm)</x:v>
      </x:c>
      <x:c r="B4" s="12" t="n">
        <x:v>891.1897396522651</x:v>
      </x:c>
      <x:c r="D4" s="16" t="str">
        <x:v>材料 / 镀膜</x:v>
      </x:c>
      <x:c r="E4" s="17" t="str">
        <x:v>ZnSe / 10.6 µm AR</x:v>
      </x:c>
      <x:c r="G4" s="23" t="str">
        <x:v>M²X / M²Y</x:v>
      </x:c>
      <x:c r="H4" s="24" t="n">
        <x:v>1.5747329825226009</x:v>
      </x:c>
    </x:row>
    <x:row r="5">
      <x:c r="A5" s="8" t="str">
        <x:v>Y 束腰 D4σ (µm)</x:v>
      </x:c>
      <x:c r="B5" s="13" t="n">
        <x:v>515.0106366563651</x:v>
      </x:c>
      <x:c r="D5" s="18" t="str">
        <x:v>柱面焦距 (mm)</x:v>
      </x:c>
      <x:c r="E5" s="19" t="n">
        <x:v>50</x:v>
      </x:c>
      <x:c r="G5" s="25" t="str">
        <x:v>单柱面镜整段理论下限</x:v>
      </x:c>
      <x:c r="H5" s="26" t="n">
        <x:v>1.2548836529824592</x:v>
      </x:c>
    </x:row>
    <x:row r="6">
      <x:c r="A6" s="8" t="str">
        <x:v>焦区最大椭圆率</x:v>
      </x:c>
      <x:c r="B6" s="13" t="n">
        <x:v>1.730778293429601</x:v>
      </x:c>
      <x:c r="D6" s="18" t="str">
        <x:v>镜片主平面 z (mm)</x:v>
      </x:c>
      <x:c r="E6" s="19" t="n">
        <x:v>219.43414445438512</x:v>
      </x:c>
      <x:c r="G6" s="25" t="str">
        <x:v>推荐方案 / 理论下限</x:v>
      </x:c>
      <x:c r="H6" s="26" t="n">
        <x:v>1.001130773719698</x:v>
      </x:c>
    </x:row>
    <x:row r="7">
      <x:c r="A7" s="8" t="str">
        <x:v>焦区最低圆度</x:v>
      </x:c>
      <x:c r="B7" s="15" t="n">
        <x:v>0.5777747524314412</x:v>
      </x:c>
      <x:c r="D7" s="18" t="str">
        <x:v>有光焦度方向</x:v>
      </x:c>
      <x:c r="E7" s="19" t="str">
        <x:v>X（柱面母线沿 Y）</x:v>
      </x:c>
      <x:c r="G7" s="25" t="str">
        <x:v>位置 ±1 mm + 焦距 ±2%</x:v>
      </x:c>
      <x:c r="H7" s="27" t="str">
        <x:v>最差轴比约 ≤1.30</x:v>
      </x:c>
    </x:row>
    <x:row r="8">
      <x:c r="A8" s="10" t="str">
        <x:v>X/Y 束腰位置差 (mm)</x:v>
      </x:c>
      <x:c r="B8" s="14" t="n">
        <x:v>0.38768939342938324</x:v>
      </x:c>
      <x:c r="D8" s="18" t="str">
        <x:v>220–250 mm 最大椭圆率</x:v>
      </x:c>
      <x:c r="E8" s="19" t="n">
        <x:v>1.2563026424385304</x:v>
      </x:c>
      <x:c r="G8" s="25" t="str">
        <x:v>焦点单点备选</x:v>
      </x:c>
      <x:c r="H8" s="27" t="str">
        <x:v>+25.4 mm @ z≈222.62 mm</x:v>
      </x:c>
    </x:row>
    <x:row r="9">
      <x:c r="D9" s="18" t="str">
        <x:v>220–250 mm 最低圆度</x:v>
      </x:c>
      <x:c r="E9" s="20" t="n">
        <x:v>0.7959865451361008</x:v>
      </x:c>
      <x:c r="G9" s="28" t="str">
        <x:v>核心限制</x:v>
      </x:c>
      <x:c r="H9" s="29" t="str">
        <x:v>单片镜不改变两轴 M²</x:v>
      </x:c>
    </x:row>
    <x:row r="10">
      <x:c r="D10" s="21" t="str">
        <x:v>建议有效口径</x:v>
      </x:c>
      <x:c r="E10" s="22" t="str">
        <x:v>≥10 mm</x:v>
      </x:c>
    </x:row>
    <x:row r="12">
      <x:c r="A12" s="44" t="str">
        <x:v>结论：主方案采用 +50 mm 正柱面镜，在 z≈219.43 mm 只对 X 方向增加会聚。预测 220–250 mm 内最大轴比由 1.731 降至 1.256；该值已接近 M² 不变量给出的理论下限 1.255。</x:v>
      </x:c>
      <x:c r="B12" s="45"/>
      <x:c r="C12" s="45"/>
      <x:c r="D12" s="45"/>
      <x:c r="E12" s="45"/>
      <x:c r="F12" s="45"/>
      <x:c r="G12" s="45"/>
      <x:c r="H12" s="45"/>
      <x:c r="I12" s="45"/>
      <x:c r="J12" s="46"/>
    </x:row>
    <x:row r="13">
      <x:c r="A13" s="47"/>
      <x:c r="B13" s="48"/>
      <x:c r="C13" s="48"/>
      <x:c r="D13" s="48"/>
      <x:c r="E13" s="48"/>
      <x:c r="F13" s="48"/>
      <x:c r="G13" s="48"/>
      <x:c r="H13" s="48"/>
      <x:c r="I13" s="48"/>
      <x:c r="J13" s="49"/>
    </x:row>
  </x:sheetData>
  <x:mergeCells>
    <x:mergeCell ref="A1:J1"/>
    <x:mergeCell ref="A12:J13"/>
  </x:mergeCells>
  <x:pageMargins left="0.7" right="0.7" top="0.75" bottom="0.75" header="0.3" footer="0.3"/>
  <x:drawing xmlns:r="http://schemas.openxmlformats.org/officeDocument/2006/relationships" r:id="Rc3ad920deb78416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8" hidden="0" customWidth="1"/>
  </x:cols>
  <x:sheetData>
    <x:row r="1" ht="15" hidden="0" customHeight="1">
      <x:c r="A1" s="91" t="str">
        <x:v>z_mm</x:v>
      </x:c>
      <x:c r="B1" s="91" t="str">
        <x:v>D4σX_µm</x:v>
      </x:c>
      <x:c r="C1" s="91" t="str">
        <x:v>D4σY_µm</x:v>
      </x:c>
      <x:c r="D1" s="91" t="str">
        <x:v>椭圆率</x:v>
      </x:c>
      <x:c r="E1" s="91" t="str">
        <x:v>圆度</x:v>
      </x:c>
      <x:c r="F1" s="91" t="str">
        <x:v>源文件</x:v>
      </x:c>
    </x:row>
    <x:row r="2" ht="15" hidden="0" customHeight="1">
      <x:c r="A2" s="92" t="n">
        <x:v>120</x:v>
      </x:c>
      <x:c r="B2" s="92" t="n">
        <x:v>4550</x:v>
      </x:c>
      <x:c r="C2" s="92" t="n">
        <x:v>4967</x:v>
      </x:c>
      <x:c r="D2" s="92" t="n">
        <x:f>MAX(B2,C2)/MIN(B2,C2)</x:f>
        <x:v>1.0916483516483517</x:v>
      </x:c>
      <x:c r="E2" s="93" t="n">
        <x:f>MIN(B2,C2)/MAX(B2,C2)</x:f>
        <x:v>0.9160459029595329</x:v>
      </x:c>
      <x:c r="F2" s="91" t="str">
        <x:v>DataBase/data/120/120.results.csv</x:v>
      </x:c>
    </x:row>
    <x:row r="3" ht="15" hidden="0" customHeight="1">
      <x:c r="A3" s="92" t="n">
        <x:v>150</x:v>
      </x:c>
      <x:c r="B3" s="92" t="n">
        <x:v>3435</x:v>
      </x:c>
      <x:c r="C3" s="92" t="n">
        <x:v>3693</x:v>
      </x:c>
      <x:c r="D3" s="92" t="n">
        <x:f>MAX(B3,C3)/MIN(B3,C3)</x:f>
        <x:v>1.0751091703056768</x:v>
      </x:c>
      <x:c r="E3" s="93" t="n">
        <x:f>MIN(B3,C3)/MAX(B3,C3)</x:f>
        <x:v>0.9301380991064175</x:v>
      </x:c>
      <x:c r="F3" s="91" t="str">
        <x:v>DataBase/data/150/150.results.csv</x:v>
      </x:c>
    </x:row>
    <x:row r="4" ht="15" hidden="0" customHeight="1">
      <x:c r="A4" s="92" t="n">
        <x:v>180</x:v>
      </x:c>
      <x:c r="B4" s="92" t="n">
        <x:v>2453</x:v>
      </x:c>
      <x:c r="C4" s="92" t="n">
        <x:v>2528</x:v>
      </x:c>
      <x:c r="D4" s="92" t="n">
        <x:f>MAX(B4,C4)/MIN(B4,C4)</x:f>
        <x:v>1.0305748063595597</x:v>
      </x:c>
      <x:c r="E4" s="93" t="n">
        <x:f>MIN(B4,C4)/MAX(B4,C4)</x:f>
        <x:v>0.9703322784810127</x:v>
      </x:c>
      <x:c r="F4" s="91" t="str">
        <x:v>DataBase/data/180/180.results.csv</x:v>
      </x:c>
    </x:row>
    <x:row r="5" ht="15" hidden="0" customHeight="1">
      <x:c r="A5" s="92" t="n">
        <x:v>200</x:v>
      </x:c>
      <x:c r="B5" s="92" t="n">
        <x:v>1684</x:v>
      </x:c>
      <x:c r="C5" s="92" t="n">
        <x:v>1644</x:v>
      </x:c>
      <x:c r="D5" s="92" t="n">
        <x:f>MAX(B5,C5)/MIN(B5,C5)</x:f>
        <x:v>1.024330900243309</x:v>
      </x:c>
      <x:c r="E5" s="93" t="n">
        <x:f>MIN(B5,C5)/MAX(B5,C5)</x:f>
        <x:v>0.9762470308788599</x:v>
      </x:c>
      <x:c r="F5" s="91" t="str">
        <x:v>DataBase/data/200/200.results.csv</x:v>
      </x:c>
    </x:row>
    <x:row r="6" ht="15" hidden="0" customHeight="1">
      <x:c r="A6" s="92" t="n">
        <x:v>210</x:v>
      </x:c>
      <x:c r="B6" s="92" t="n">
        <x:v>1337</x:v>
      </x:c>
      <x:c r="C6" s="92" t="n">
        <x:v>1261</x:v>
      </x:c>
      <x:c r="D6" s="92" t="n">
        <x:f>MAX(B6,C6)/MIN(B6,C6)</x:f>
        <x:v>1.0602696272799366</x:v>
      </x:c>
      <x:c r="E6" s="93" t="n">
        <x:f>MIN(B6,C6)/MAX(B6,C6)</x:f>
        <x:v>0.9431563201196709</x:v>
      </x:c>
      <x:c r="F6" s="91" t="str">
        <x:v>DataBase/data/210/210.results.csv</x:v>
      </x:c>
    </x:row>
    <x:row r="7" ht="15" hidden="0" customHeight="1">
      <x:c r="A7" s="92" t="n">
        <x:v>220</x:v>
      </x:c>
      <x:c r="B7" s="92" t="n">
        <x:v>1074</x:v>
      </x:c>
      <x:c r="C7" s="92" t="n">
        <x:v>823.1</x:v>
      </x:c>
      <x:c r="D7" s="92" t="n">
        <x:f>MAX(B7,C7)/MIN(B7,C7)</x:f>
        <x:v>1.3048232292552544</x:v>
      </x:c>
      <x:c r="E7" s="93" t="n">
        <x:f>MIN(B7,C7)/MAX(B7,C7)</x:f>
        <x:v>0.7663873370577281</x:v>
      </x:c>
      <x:c r="F7" s="91" t="str">
        <x:v>DataBase/data/220/220.results.csv</x:v>
      </x:c>
    </x:row>
    <x:row r="8" ht="15" hidden="0" customHeight="1">
      <x:c r="A8" s="92" t="n">
        <x:v>230</x:v>
      </x:c>
      <x:c r="B8" s="92" t="n">
        <x:v>868.6</x:v>
      </x:c>
      <x:c r="C8" s="92" t="n">
        <x:v>528.8</x:v>
      </x:c>
      <x:c r="D8" s="92" t="n">
        <x:f>MAX(B8,C8)/MIN(B8,C8)</x:f>
        <x:v>1.6425869894099852</x:v>
      </x:c>
      <x:c r="E8" s="93" t="n">
        <x:f>MIN(B8,C8)/MAX(B8,C8)</x:f>
        <x:v>0.6087957632972599</x:v>
      </x:c>
      <x:c r="F8" s="91" t="str">
        <x:v>DataBase/data/230/230.results.csv</x:v>
      </x:c>
    </x:row>
    <x:row r="9" ht="15" hidden="0" customHeight="1">
      <x:c r="A9" s="92" t="n">
        <x:v>240</x:v>
      </x:c>
      <x:c r="B9" s="92" t="n">
        <x:v>888.3</x:v>
      </x:c>
      <x:c r="C9" s="92" t="n">
        <x:v>588</x:v>
      </x:c>
      <x:c r="D9" s="92" t="n">
        <x:f>MAX(B9,C9)/MIN(B9,C9)</x:f>
        <x:v>1.5107142857142857</x:v>
      </x:c>
      <x:c r="E9" s="93" t="n">
        <x:f>MIN(B9,C9)/MAX(B9,C9)</x:f>
        <x:v>0.6619385342789599</x:v>
      </x:c>
      <x:c r="F9" s="91" t="str">
        <x:v>DataBase/data/240/240.results.csv</x:v>
      </x:c>
    </x:row>
    <x:row r="10" ht="15" hidden="0" customHeight="1">
      <x:c r="A10" s="92" t="n">
        <x:v>250</x:v>
      </x:c>
      <x:c r="B10" s="92" t="n">
        <x:v>1067</x:v>
      </x:c>
      <x:c r="C10" s="92" t="n">
        <x:v>797</x:v>
      </x:c>
      <x:c r="D10" s="92" t="n">
        <x:f>MAX(B10,C10)/MIN(B10,C10)</x:f>
        <x:v>1.3387703889585947</x:v>
      </x:c>
      <x:c r="E10" s="93" t="n">
        <x:f>MIN(B10,C10)/MAX(B10,C10)</x:f>
        <x:v>0.746954076850984</x:v>
      </x:c>
      <x:c r="F10" s="91" t="str">
        <x:v>DataBase/data/250/250.results.csv</x:v>
      </x:c>
    </x:row>
    <x:row r="11" ht="15" hidden="0" customHeight="1">
      <x:c r="A11" s="92" t="n">
        <x:v>260</x:v>
      </x:c>
      <x:c r="B11" s="92" t="n">
        <x:v>1339</x:v>
      </x:c>
      <x:c r="C11" s="92" t="n">
        <x:v>1170</x:v>
      </x:c>
      <x:c r="D11" s="92" t="n">
        <x:f>MAX(B11,C11)/MIN(B11,C11)</x:f>
        <x:v>1.1444444444444444</x:v>
      </x:c>
      <x:c r="E11" s="93" t="n">
        <x:f>MIN(B11,C11)/MAX(B11,C11)</x:f>
        <x:v>0.8737864077669902</x:v>
      </x:c>
      <x:c r="F11" s="91" t="str">
        <x:v>DataBase/data/260/260.results.csv</x:v>
      </x:c>
    </x:row>
    <x:row r="12" ht="15" hidden="0" customHeight="1">
      <x:c r="A12" s="92" t="n">
        <x:v>270</x:v>
      </x:c>
      <x:c r="B12" s="92" t="n">
        <x:v>1681</x:v>
      </x:c>
      <x:c r="C12" s="92" t="n">
        <x:v>1586</x:v>
      </x:c>
      <x:c r="D12" s="92" t="n">
        <x:f>MAX(B12,C12)/MIN(B12,C12)</x:f>
        <x:v>1.0598991172761665</x:v>
      </x:c>
      <x:c r="E12" s="93" t="n">
        <x:f>MIN(B12,C12)/MAX(B12,C12)</x:f>
        <x:v>0.9434860202260559</x:v>
      </x:c>
      <x:c r="F12" s="91" t="str">
        <x:v>DataBase/data/270/270.results.csv</x:v>
      </x:c>
    </x:row>
    <x:row r="13" ht="15" hidden="0" customHeight="1">
      <x:c r="A13" s="92" t="n">
        <x:v>280</x:v>
      </x:c>
      <x:c r="B13" s="92" t="n">
        <x:v>1989</x:v>
      </x:c>
      <x:c r="C13" s="92" t="n">
        <x:v>2011</x:v>
      </x:c>
      <x:c r="D13" s="92" t="n">
        <x:f>MAX(B13,C13)/MIN(B13,C13)</x:f>
        <x:v>1.0110608345902463</x:v>
      </x:c>
      <x:c r="E13" s="93" t="n">
        <x:f>MIN(B13,C13)/MAX(B13,C13)</x:f>
        <x:v>0.9890601690701144</x:v>
      </x:c>
      <x:c r="F13" s="91" t="str">
        <x:v>DataBase/data/280/280.results.csv</x:v>
      </x:c>
    </x:row>
    <x:row r="14" ht="15" hidden="0" customHeight="1">
      <x:c r="A14" s="92" t="n">
        <x:v>300</x:v>
      </x:c>
      <x:c r="B14" s="92" t="n">
        <x:v>2698</x:v>
      </x:c>
      <x:c r="C14" s="92" t="n">
        <x:v>2845</x:v>
      </x:c>
      <x:c r="D14" s="92" t="n">
        <x:f>MAX(B14,C14)/MIN(B14,C14)</x:f>
        <x:v>1.0544848035581913</x:v>
      </x:c>
      <x:c r="E14" s="93" t="n">
        <x:f>MIN(B14,C14)/MAX(B14,C14)</x:f>
        <x:v>0.9483304042179261</x:v>
      </x:c>
      <x:c r="F14" s="91" t="str">
        <x:v>DataBase/data/300/300.results.csv</x:v>
      </x:c>
    </x:row>
    <x:row r="15" ht="15" hidden="0" customHeight="1">
      <x:c r="A15" s="92" t="n">
        <x:v>330</x:v>
      </x:c>
      <x:c r="B15" s="92" t="n">
        <x:v>3813</x:v>
      </x:c>
      <x:c r="C15" s="92" t="n">
        <x:v>4083</x:v>
      </x:c>
      <x:c r="D15" s="92" t="n">
        <x:f>MAX(B15,C15)/MIN(B15,C15)</x:f>
        <x:v>1.07081038552321</x:v>
      </x:c>
      <x:c r="E15" s="93" t="n">
        <x:f>MIN(B15,C15)/MAX(B15,C15)</x:f>
        <x:v>0.9338721528288023</x:v>
      </x:c>
      <x:c r="F15" s="91" t="str">
        <x:v>DataBase/data/330/330.results.csv</x:v>
      </x:c>
    </x:row>
    <x:row r="16" ht="15" hidden="0" customHeight="1">
      <x:c r="A16" s="92" t="n">
        <x:v>360</x:v>
      </x:c>
      <x:c r="B16" s="92" t="n">
        <x:v>5085</x:v>
      </x:c>
      <x:c r="C16" s="92" t="n">
        <x:v>5523</x:v>
      </x:c>
      <x:c r="D16" s="92" t="n">
        <x:f>MAX(B16,C16)/MIN(B16,C16)</x:f>
        <x:v>1.0861356932153392</x:v>
      </x:c>
      <x:c r="E16" s="93" t="n">
        <x:f>MIN(B16,C16)/MAX(B16,C16)</x:f>
        <x:v>0.9206952743074416</x:v>
      </x:c>
      <x:c r="F16" s="91" t="str">
        <x:v>DataBase/data/360/360.results.csv</x:v>
      </x:c>
    </x:row>
  </x:sheetData>
  <x:pageMargins left="0.7" right="0.7" top="0.75" bottom="0.75" header="0.3" footer="0.3"/>
  <x:tableParts count="1">
    <x:tablePart xmlns:r="http://schemas.openxmlformats.org/officeDocument/2006/relationships" r:id="R334502b29d3c41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3" hidden="0" customWidth="1"/>
    <x:col min="3" max="3" width="17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20" hidden="0" customWidth="1"/>
    <x:col min="9" max="9" width="19" hidden="0" customWidth="1"/>
    <x:col min="10" max="10" width="16" hidden="0" customWidth="1"/>
    <x:col min="11" max="11" width="16" hidden="0" customWidth="1"/>
  </x:cols>
  <x:sheetData>
    <x:row r="1" ht="15" hidden="0" customHeight="1">
      <x:c r="A1" s="94" t="str">
        <x:v>拟合参数与柱面镜候选方案</x:v>
      </x:c>
      <x:c r="B1" s="94"/>
      <x:c r="C1" s="94"/>
      <x:c r="D1" s="94"/>
      <x:c r="E1" s="94"/>
      <x:c r="F1" s="94"/>
      <x:c r="G1" s="94"/>
      <x:c r="H1" s="94"/>
      <x:c r="I1" s="94"/>
      <x:c r="J1" s="94"/>
      <x:c r="K1" s="94"/>
    </x:row>
    <x:row r="2" ht="15" hidden="0" customHeight="1">
      <x:c r="A2" s="91"/>
      <x:c r="B2" s="91"/>
      <x:c r="C2" s="91"/>
      <x:c r="D2" s="91"/>
      <x:c r="E2" s="91"/>
      <x:c r="F2" s="91"/>
      <x:c r="G2" s="91"/>
      <x:c r="H2" s="91"/>
      <x:c r="I2" s="91"/>
      <x:c r="J2" s="91"/>
      <x:c r="K2" s="91"/>
    </x:row>
    <x:row r="3" ht="15" hidden="0" customHeight="1">
      <x:c r="A3" s="95" t="str">
        <x:v>假设</x:v>
      </x:c>
      <x:c r="B3" s="95" t="str">
        <x:v>数值</x:v>
      </x:c>
      <x:c r="C3" s="91"/>
      <x:c r="D3" s="91"/>
      <x:c r="E3" s="91"/>
      <x:c r="F3" s="91"/>
      <x:c r="G3" s="91"/>
      <x:c r="H3" s="91"/>
      <x:c r="I3" s="91"/>
      <x:c r="J3" s="91"/>
      <x:c r="K3" s="91"/>
    </x:row>
    <x:row r="4" ht="15" hidden="0" customHeight="1">
      <x:c r="A4" s="91" t="str">
        <x:v>波长 (µm)</x:v>
      </x:c>
      <x:c r="B4" s="91" t="n">
        <x:v>10.6</x:v>
      </x:c>
      <x:c r="C4" s="91"/>
      <x:c r="D4" s="91"/>
      <x:c r="E4" s="91"/>
      <x:c r="F4" s="91"/>
      <x:c r="G4" s="91"/>
      <x:c r="H4" s="91"/>
      <x:c r="I4" s="91"/>
      <x:c r="J4" s="91"/>
      <x:c r="K4" s="91"/>
    </x:row>
    <x:row r="5" ht="15" hidden="0" customHeight="1">
      <x:c r="A5" s="91"/>
      <x:c r="B5" s="91"/>
      <x:c r="C5" s="91"/>
      <x:c r="D5" s="91"/>
      <x:c r="E5" s="91"/>
      <x:c r="F5" s="91"/>
      <x:c r="G5" s="91"/>
      <x:c r="H5" s="91"/>
      <x:c r="I5" s="91"/>
      <x:c r="J5" s="91"/>
      <x:c r="K5" s="91"/>
    </x:row>
    <x:row r="6" ht="15" hidden="0" customHeight="1">
      <x:c r="A6" s="95" t="str">
        <x:v>轴</x:v>
      </x:c>
      <x:c r="B6" s="95" t="str">
        <x:v>D0_µm</x:v>
      </x:c>
      <x:c r="C6" s="95" t="str">
        <x:v>theta_µm/mm</x:v>
      </x:c>
      <x:c r="D6" s="95" t="str">
        <x:v>z0_mm</x:v>
      </x:c>
      <x:c r="E6" s="95" t="str">
        <x:v>M²</x:v>
      </x:c>
      <x:c r="F6" s="95" t="str">
        <x:v>RMSE_µm</x:v>
      </x:c>
      <x:c r="G6" s="95" t="str">
        <x:v>R²</x:v>
      </x:c>
      <x:c r="H6" s="95" t="str">
        <x:v>D0标准差</x:v>
      </x:c>
      <x:c r="I6" s="95" t="str">
        <x:v>theta标准差</x:v>
      </x:c>
      <x:c r="J6" s="95" t="str">
        <x:v>z0标准差</x:v>
      </x:c>
      <x:c r="K6" s="91"/>
    </x:row>
    <x:row r="7" ht="15" hidden="0" customHeight="1">
      <x:c r="A7" s="91" t="str">
        <x:v>X</x:v>
      </x:c>
      <x:c r="B7" s="96" t="n">
        <x:v>891.1897396522651</x:v>
      </x:c>
      <x:c r="C7" s="96" t="n">
        <x:v>39.47330369941287</x:v>
      </x:c>
      <x:c r="D7" s="96" t="n">
        <x:v>234.93397421475757</x:v>
      </x:c>
      <x:c r="E7" s="96" t="n">
        <x:v>2.6064996435745478</x:v>
      </x:c>
      <x:c r="F7" s="96" t="n">
        <x:v>45.53146222411198</x:v>
      </x:c>
      <x:c r="G7" s="96" t="n">
        <x:v>0.9988191432383967</x:v>
      </x:c>
      <x:c r="H7" s="96" t="n">
        <x:v>23.866162582441934</x:v>
      </x:c>
      <x:c r="I7" s="96" t="n">
        <x:v>0.2406400542044294</x:v>
      </x:c>
      <x:c r="J7" s="96" t="n">
        <x:v>0.4186078721638706</x:v>
      </x:c>
      <x:c r="K7" s="91"/>
    </x:row>
    <x:row r="8" ht="15" hidden="0" customHeight="1">
      <x:c r="A8" s="91" t="str">
        <x:v>Y</x:v>
      </x:c>
      <x:c r="B8" s="96" t="n">
        <x:v>515.0106366563651</x:v>
      </x:c>
      <x:c r="C8" s="96" t="n">
        <x:v>43.376102972348725</x:v>
      </x:c>
      <x:c r="D8" s="96" t="n">
        <x:v>235.32166360818695</x:v>
      </x:c>
      <x:c r="E8" s="96" t="n">
        <x:v>1.6552010229690728</x:v>
      </x:c>
      <x:c r="F8" s="96" t="n">
        <x:v>44.102833708511575</x:v>
      </x:c>
      <x:c r="G8" s="96" t="n">
        <x:v>0.9992081223619643</x:v>
      </x:c>
      <x:c r="H8" s="96" t="n">
        <x:v>28.9678763263606</x:v>
      </x:c>
      <x:c r="I8" s="96" t="n">
        <x:v>0.21931873957321868</x:v>
      </x:c>
      <x:c r="J8" s="96" t="n">
        <x:v>0.3326440721520205</x:v>
      </x:c>
      <x:c r="K8" s="91"/>
    </x:row>
    <x:row r="9" ht="15" hidden="0" customHeight="1">
      <x:c r="A9" s="91"/>
      <x:c r="B9" s="91"/>
      <x:c r="C9" s="91"/>
      <x:c r="D9" s="91"/>
      <x:c r="E9" s="91"/>
      <x:c r="F9" s="91"/>
      <x:c r="G9" s="91"/>
      <x:c r="H9" s="91"/>
      <x:c r="I9" s="91"/>
      <x:c r="J9" s="91"/>
      <x:c r="K9" s="91"/>
    </x:row>
    <x:row r="10" ht="15" hidden="0" customHeight="1">
      <x:c r="A10" s="91"/>
      <x:c r="B10" s="91"/>
      <x:c r="C10" s="91"/>
      <x:c r="D10" s="91"/>
      <x:c r="E10" s="91"/>
      <x:c r="F10" s="91"/>
      <x:c r="G10" s="91"/>
      <x:c r="H10" s="91"/>
      <x:c r="I10" s="91"/>
      <x:c r="J10" s="91"/>
      <x:c r="K10" s="91"/>
    </x:row>
    <x:row r="11" ht="15" hidden="0" customHeight="1">
      <x:c r="A11" s="97" t="str">
        <x:v>方案</x:v>
      </x:c>
      <x:c r="B11" s="97" t="str">
        <x:v>f_mm</x:v>
      </x:c>
      <x:c r="C11" s="97" t="str">
        <x:v>镜片z_mm</x:v>
      </x:c>
      <x:c r="D11" s="97" t="str">
        <x:v>有光焦度方向</x:v>
      </x:c>
      <x:c r="E11" s="97" t="str">
        <x:v>柱面母线方向</x:v>
      </x:c>
      <x:c r="F11" s="97" t="str">
        <x:v>新X束腰_µm</x:v>
      </x:c>
      <x:c r="G11" s="97" t="str">
        <x:v>新X发散_µm/mm</x:v>
      </x:c>
      <x:c r="H11" s="97" t="str">
        <x:v>新X束腰z_mm</x:v>
      </x:c>
      <x:c r="I11" s="97" t="str">
        <x:v>评价窗口</x:v>
      </x:c>
      <x:c r="J11" s="97" t="str">
        <x:v>最大椭圆率</x:v>
      </x:c>
      <x:c r="K11" s="97" t="str">
        <x:v>最低圆度</x:v>
      </x:c>
    </x:row>
    <x:row r="12" ht="15" hidden="0" customHeight="1">
      <x:c r="A12" s="91" t="str">
        <x:v>理论整段最优</x:v>
      </x:c>
      <x:c r="B12" s="92" t="n">
        <x:v>50.915051634430974</x:v>
      </x:c>
      <x:c r="C12" s="92" t="n">
        <x:v>219.36842266509774</x:v>
      </x:c>
      <x:c r="D12" s="92" t="str">
        <x:v>X</x:v>
      </x:c>
      <x:c r="E12" s="92" t="str">
        <x:v>Y</x:v>
      </x:c>
      <x:c r="F12" s="92" t="n">
        <x:v>646.2784290521615</x:v>
      </x:c>
      <x:c r="G12" s="92" t="n">
        <x:v>54.43196255008427</x:v>
      </x:c>
      <x:c r="H12" s="92" t="n">
        <x:v>235.32166360818695</x:v>
      </x:c>
      <x:c r="I12" s="91" t="str">
        <x:v>220-250</x:v>
      </x:c>
      <x:c r="J12" s="92" t="n">
        <x:v>1.2548836529824592</x:v>
      </x:c>
      <x:c r="K12" s="93" t="n">
        <x:v>0.796886625802574</x:v>
      </x:c>
    </x:row>
    <x:row r="13" ht="15" hidden="0" customHeight="1">
      <x:c r="A13" s="98" t="str">
        <x:v>推荐标准件_整段均衡</x:v>
      </x:c>
      <x:c r="B13" s="99" t="n">
        <x:v>50</x:v>
      </x:c>
      <x:c r="C13" s="99" t="n">
        <x:v>219.43414445438512</x:v>
      </x:c>
      <x:c r="D13" s="99" t="str">
        <x:v>X</x:v>
      </x:c>
      <x:c r="E13" s="99" t="str">
        <x:v>Y</x:v>
      </x:c>
      <x:c r="F13" s="99" t="n">
        <x:v>643.1641631463941</x:v>
      </x:c>
      <x:c r="G13" s="99" t="n">
        <x:v>54.695527616154635</x:v>
      </x:c>
      <x:c r="H13" s="99" t="n">
        <x:v>235.3192924921404</x:v>
      </x:c>
      <x:c r="I13" s="98" t="str">
        <x:v>220-250</x:v>
      </x:c>
      <x:c r="J13" s="99" t="n">
        <x:v>1.2563026424385304</x:v>
      </x:c>
      <x:c r="K13" s="100" t="n">
        <x:v>0.7959865451361008</x:v>
      </x:c>
    </x:row>
    <x:row r="14" ht="15" hidden="0" customHeight="1">
      <x:c r="A14" s="91" t="str">
        <x:v>理论单点圆斑</x:v>
      </x:c>
      <x:c r="B14" s="92" t="n">
        <x:v>25.555807580612537</x:v>
      </x:c>
      <x:c r="C14" s="92" t="n">
        <x:v>222.46465641633026</x:v>
      </x:c>
      <x:c r="D14" s="92" t="str">
        <x:v>X</x:v>
      </x:c>
      <x:c r="E14" s="92" t="str">
        <x:v>Y</x:v>
      </x:c>
      <x:c r="F14" s="92" t="n">
        <x:v>515.0106366563651</x:v>
      </x:c>
      <x:c r="G14" s="92" t="n">
        <x:v>68.30578000385415</x:v>
      </x:c>
      <x:c r="H14" s="92" t="n">
        <x:v>235.32166360818695</x:v>
      </x:c>
      <x:c r="I14" s="91" t="str">
        <x:v>z=235.322</x:v>
      </x:c>
      <x:c r="J14" s="92" t="n">
        <x:v>1</x:v>
      </x:c>
      <x:c r="K14" s="93" t="n">
        <x:v>1</x:v>
      </x:c>
    </x:row>
    <x:row r="15" ht="15" hidden="0" customHeight="1">
      <x:c r="A15" s="101" t="str">
        <x:v>备选标准件_单点圆斑</x:v>
      </x:c>
      <x:c r="B15" s="102" t="n">
        <x:v>25.4</x:v>
      </x:c>
      <x:c r="C15" s="102" t="n">
        <x:v>222.61795472400928</x:v>
      </x:c>
      <x:c r="D15" s="102" t="str">
        <x:v>X</x:v>
      </x:c>
      <x:c r="E15" s="102" t="str">
        <x:v>Y</x:v>
      </x:c>
      <x:c r="F15" s="102" t="n">
        <x:v>514.9624832331335</x:v>
      </x:c>
      <x:c r="G15" s="102" t="n">
        <x:v>68.31216718202892</x:v>
      </x:c>
      <x:c r="H15" s="102" t="n">
        <x:v>235.42473802310872</x:v>
      </x:c>
      <x:c r="I15" s="101" t="str">
        <x:v>225.3-245.3</x:v>
      </x:c>
      <x:c r="J15" s="102" t="n">
        <x:v>1.2737900377289653</x:v>
      </x:c>
      <x:c r="K15" s="103" t="n">
        <x:v>0.7850587383952976</x:v>
      </x:c>
    </x:row>
    <x:row r="16" ht="15" hidden="0" customHeight="1">
      <x:c r="A16" s="91"/>
      <x:c r="B16" s="91"/>
      <x:c r="C16" s="91"/>
      <x:c r="D16" s="91"/>
      <x:c r="E16" s="91"/>
      <x:c r="F16" s="91"/>
      <x:c r="G16" s="91"/>
      <x:c r="H16" s="91"/>
      <x:c r="I16" s="91"/>
      <x:c r="J16" s="91"/>
      <x:c r="K16" s="91"/>
    </x:row>
    <x:row r="17">
      <x:c r="A17" s="104" t="str">
        <x:v>模型说明：D(z)^2=D0^2+theta^2(z-z0)^2；薄柱面镜在 X 轴使用 [ [1,0],[-1/f,1] ] 变换。单片无损一阶元件保持每个轴的二阶矩行列式，因此无法改变 M²X/M²Y。整段恒定轴比下限为 SQRT(M²X/M²Y)。</x:v>
      </x:c>
      <x:c r="B17" s="105"/>
      <x:c r="C17" s="105"/>
      <x:c r="D17" s="105"/>
      <x:c r="E17" s="105"/>
      <x:c r="F17" s="105"/>
      <x:c r="G17" s="105"/>
      <x:c r="H17" s="105"/>
      <x:c r="I17" s="105"/>
      <x:c r="J17" s="105"/>
      <x:c r="K17" s="106"/>
    </x:row>
    <x:row r="18">
      <x:c r="A18" s="107"/>
      <x:c r="B18" s="108"/>
      <x:c r="C18" s="108"/>
      <x:c r="D18" s="108"/>
      <x:c r="E18" s="108"/>
      <x:c r="F18" s="108"/>
      <x:c r="G18" s="108"/>
      <x:c r="H18" s="108"/>
      <x:c r="I18" s="108"/>
      <x:c r="J18" s="108"/>
      <x:c r="K18" s="109"/>
    </x:row>
    <x:row r="19">
      <x:c r="A19" s="107"/>
      <x:c r="B19" s="108"/>
      <x:c r="C19" s="108"/>
      <x:c r="D19" s="108"/>
      <x:c r="E19" s="108"/>
      <x:c r="F19" s="108"/>
      <x:c r="G19" s="108"/>
      <x:c r="H19" s="108"/>
      <x:c r="I19" s="108"/>
      <x:c r="J19" s="108"/>
      <x:c r="K19" s="109"/>
    </x:row>
    <x:row r="20">
      <x:c r="A20" s="110"/>
      <x:c r="B20" s="111"/>
      <x:c r="C20" s="111"/>
      <x:c r="D20" s="111"/>
      <x:c r="E20" s="111"/>
      <x:c r="F20" s="111"/>
      <x:c r="G20" s="111"/>
      <x:c r="H20" s="111"/>
      <x:c r="I20" s="111"/>
      <x:c r="J20" s="111"/>
      <x:c r="K20" s="112"/>
    </x:row>
    <x:row r="21" ht="15" hidden="0" customHeight="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</x:row>
    <x:row r="22" ht="15" hidden="0" customHeight="1">
      <x:c r="A22" s="95" t="str">
        <x:v>外部材料参考</x:v>
      </x:c>
      <x:c r="B22" s="95" t="str">
        <x:v>说明 / URL</x:v>
      </x:c>
      <x:c r="C22" s="91"/>
      <x:c r="D22" s="91"/>
      <x:c r="E22" s="91"/>
      <x:c r="F22" s="91"/>
      <x:c r="G22" s="91"/>
      <x:c r="H22" s="91"/>
      <x:c r="I22" s="91"/>
      <x:c r="J22" s="91"/>
      <x:c r="K22" s="91"/>
    </x:row>
    <x:row r="23" ht="15" hidden="0" customHeight="1">
      <x:c r="A23" s="113" t="str">
        <x:v>ZnSe CO₂ 激光柱面镜与 10.6 µm AR</x:v>
      </x:c>
      <x:c r="B23" s="113" t="str">
        <x:v>https://www.lasercomponents.com/en/product/znse-lenses-for-co2-lasers/</x:v>
      </x:c>
      <x:c r="C23" s="113"/>
      <x:c r="D23" s="113"/>
      <x:c r="E23" s="113"/>
      <x:c r="F23" s="113"/>
      <x:c r="G23" s="113"/>
      <x:c r="H23" s="113"/>
      <x:c r="I23" s="113"/>
      <x:c r="J23" s="113"/>
      <x:c r="K23" s="113"/>
    </x:row>
  </x:sheetData>
  <x:mergeCells>
    <x:mergeCell ref="A1:K1"/>
    <x:mergeCell ref="A17:K20"/>
    <x:mergeCell ref="B23:K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15" hidden="0" customHeight="1">
      <x:c r="A1" s="91" t="str">
        <x:v>z_mm</x:v>
      </x:c>
      <x:c r="B1" s="91" t="str">
        <x:v>原始X_µm</x:v>
      </x:c>
      <x:c r="C1" s="91" t="str">
        <x:v>原始Y_µm</x:v>
      </x:c>
      <x:c r="D1" s="91" t="str">
        <x:v>原始椭圆率</x:v>
      </x:c>
      <x:c r="E1" s="91" t="str">
        <x:v>推荐X_µm</x:v>
      </x:c>
      <x:c r="F1" s="91" t="str">
        <x:v>推荐Y_µm</x:v>
      </x:c>
      <x:c r="G1" s="91" t="str">
        <x:v>推荐椭圆率</x:v>
      </x:c>
      <x:c r="H1" s="91" t="str">
        <x:v>单点X_µm</x:v>
      </x:c>
      <x:c r="I1" s="91" t="str">
        <x:v>单点Y_µm</x:v>
      </x:c>
      <x:c r="J1" s="91" t="str">
        <x:v>单点椭圆率</x:v>
      </x:c>
    </x:row>
    <x:row r="2" ht="15" hidden="0" customHeight="1">
      <x:c r="A2" s="92" t="n">
        <x:v>120</x:v>
      </x:c>
      <x:c r="B2" s="92" t="n">
        <x:f>SQRT('拟合与方案'!$B$7^2+('拟合与方案'!$C$7*(A2-'拟合与方案'!$D$7))^2)</x:f>
        <x:v>4623.525512067369</x:v>
      </x:c>
      <x:c r="C2" s="92" t="n">
        <x:f>SQRT('拟合与方案'!$B$8^2+('拟合与方案'!$C$8*(A2-'拟合与方案'!$D$8))^2)</x:f>
        <x:v>5028.646375632873</x:v>
      </x:c>
      <x:c r="D2" s="92" t="n">
        <x:f>MAX(B2,C2)/MIN(B2,C2)</x:f>
        <x:v>1.0876216347261718</x:v>
      </x:c>
      <x:c r="E2" s="92" t="str">
        <x:f>IF(A2&lt;'拟合与方案'!$C$13,"",SQRT('拟合与方案'!$F$13^2+('拟合与方案'!$G$13*(A2-'拟合与方案'!$H$13))^2))</x:f>
      </x:c>
      <x:c r="F2" s="92" t="n">
        <x:f>C2</x:f>
        <x:v>5028.646375632873</x:v>
      </x:c>
      <x:c r="G2" s="92" t="str">
        <x:f>IF(E2="","",MAX(E2,F2)/MIN(E2,F2))</x:f>
      </x:c>
      <x:c r="H2" s="92" t="str">
        <x:f>IF(A2&lt;'拟合与方案'!$C$15,"",SQRT('拟合与方案'!$F$15^2+('拟合与方案'!$G$15*(A2-'拟合与方案'!$H$15))^2))</x:f>
      </x:c>
      <x:c r="I2" s="92" t="n">
        <x:f>C2</x:f>
        <x:v>5028.646375632873</x:v>
      </x:c>
      <x:c r="J2" s="92" t="str">
        <x:f>IF(H2="","",MAX(H2,I2)/MIN(H2,I2))</x:f>
      </x:c>
    </x:row>
    <x:row r="3" ht="15" hidden="0" customHeight="1">
      <x:c r="A3" s="92" t="n">
        <x:v>120.5</x:v>
      </x:c>
      <x:c r="B3" s="92" t="n">
        <x:f>SQRT('拟合与方案'!$B$7^2+('拟合与方案'!$C$7*(A3-'拟合与方案'!$D$7))^2)</x:f>
        <x:v>4604.160539949151</x:v>
      </x:c>
      <x:c r="C3" s="92" t="n">
        <x:f>SQRT('拟合与方案'!$B$8^2+('拟合与方案'!$C$8*(A3-'拟合与方案'!$D$8))^2)</x:f>
        <x:v>5007.072858619612</x:v>
      </x:c>
      <x:c r="D3" s="92" t="n">
        <x:f>MAX(B3,C3)/MIN(B3,C3)</x:f>
        <x:v>1.0875104843053345</x:v>
      </x:c>
      <x:c r="E3" s="92" t="str">
        <x:f>IF(A3&lt;'拟合与方案'!$C$13,"",SQRT('拟合与方案'!$F$13^2+('拟合与方案'!$G$13*(A3-'拟合与方案'!$H$13))^2))</x:f>
      </x:c>
      <x:c r="F3" s="92" t="n">
        <x:f>C3</x:f>
        <x:v>5007.072858619612</x:v>
      </x:c>
      <x:c r="G3" s="92" t="str">
        <x:f>IF(E3="","",MAX(E3,F3)/MIN(E3,F3))</x:f>
      </x:c>
      <x:c r="H3" s="92" t="str">
        <x:f>IF(A3&lt;'拟合与方案'!$C$15,"",SQRT('拟合与方案'!$F$15^2+('拟合与方案'!$G$15*(A3-'拟合与方案'!$H$15))^2))</x:f>
      </x:c>
      <x:c r="I3" s="92" t="n">
        <x:f>C3</x:f>
        <x:v>5007.072858619612</x:v>
      </x:c>
      <x:c r="J3" s="92" t="str">
        <x:f>IF(H3="","",MAX(H3,I3)/MIN(H3,I3))</x:f>
      </x:c>
    </x:row>
    <x:row r="4" ht="15" hidden="0" customHeight="1">
      <x:c r="A4" s="92" t="n">
        <x:v>121</x:v>
      </x:c>
      <x:c r="B4" s="92" t="n">
        <x:f>SQRT('拟合与方案'!$B$7^2+('拟合与方案'!$C$7*(A4-'拟合与方案'!$D$7))^2)</x:f>
        <x:v>4584.798737716232</x:v>
      </x:c>
      <x:c r="C4" s="92" t="n">
        <x:f>SQRT('拟合与方案'!$B$8^2+('拟合与方案'!$C$8*(A4-'拟合与方案'!$D$8))^2)</x:f>
        <x:v>4985.500335476797</x:v>
      </x:c>
      <x:c r="D4" s="92" t="n">
        <x:f>MAX(B4,C4)/MIN(B4,C4)</x:f>
        <x:v>1.0873978599026053</x:v>
      </x:c>
      <x:c r="E4" s="92" t="str">
        <x:f>IF(A4&lt;'拟合与方案'!$C$13,"",SQRT('拟合与方案'!$F$13^2+('拟合与方案'!$G$13*(A4-'拟合与方案'!$H$13))^2))</x:f>
      </x:c>
      <x:c r="F4" s="92" t="n">
        <x:f>C4</x:f>
        <x:v>4985.500335476797</x:v>
      </x:c>
      <x:c r="G4" s="92" t="str">
        <x:f>IF(E4="","",MAX(E4,F4)/MIN(E4,F4))</x:f>
      </x:c>
      <x:c r="H4" s="92" t="str">
        <x:f>IF(A4&lt;'拟合与方案'!$C$15,"",SQRT('拟合与方案'!$F$15^2+('拟合与方案'!$G$15*(A4-'拟合与方案'!$H$15))^2))</x:f>
      </x:c>
      <x:c r="I4" s="92" t="n">
        <x:f>C4</x:f>
        <x:v>4985.500335476797</x:v>
      </x:c>
      <x:c r="J4" s="92" t="str">
        <x:f>IF(H4="","",MAX(H4,I4)/MIN(H4,I4))</x:f>
      </x:c>
    </x:row>
    <x:row r="5" ht="15" hidden="0" customHeight="1">
      <x:c r="A5" s="92" t="n">
        <x:v>121.5</x:v>
      </x:c>
      <x:c r="B5" s="92" t="n">
        <x:f>SQRT('拟合与方案'!$B$7^2+('拟合与方案'!$C$7*(A5-'拟合与方案'!$D$7))^2)</x:f>
        <x:v>4565.440145698585</x:v>
      </x:c>
      <x:c r="C5" s="92" t="n">
        <x:f>SQRT('拟合与方案'!$B$8^2+('拟合与方案'!$C$8*(A5-'拟合与方案'!$D$8))^2)</x:f>
        <x:v>4963.928819162082</x:v>
      </x:c>
      <x:c r="D5" s="92" t="n">
        <x:f>MAX(B5,C5)/MIN(B5,C5)</x:f>
        <x:v>1.0872837362327354</x:v>
      </x:c>
      <x:c r="E5" s="92" t="str">
        <x:f>IF(A5&lt;'拟合与方案'!$C$13,"",SQRT('拟合与方案'!$F$13^2+('拟合与方案'!$G$13*(A5-'拟合与方案'!$H$13))^2))</x:f>
      </x:c>
      <x:c r="F5" s="92" t="n">
        <x:f>C5</x:f>
        <x:v>4963.928819162082</x:v>
      </x:c>
      <x:c r="G5" s="92" t="str">
        <x:f>IF(E5="","",MAX(E5,F5)/MIN(E5,F5))</x:f>
      </x:c>
      <x:c r="H5" s="92" t="str">
        <x:f>IF(A5&lt;'拟合与方案'!$C$15,"",SQRT('拟合与方案'!$F$15^2+('拟合与方案'!$G$15*(A5-'拟合与方案'!$H$15))^2))</x:f>
      </x:c>
      <x:c r="I5" s="92" t="n">
        <x:f>C5</x:f>
        <x:v>4963.928819162082</x:v>
      </x:c>
      <x:c r="J5" s="92" t="str">
        <x:f>IF(H5="","",MAX(H5,I5)/MIN(H5,I5))</x:f>
      </x:c>
    </x:row>
    <x:row r="6" ht="15" hidden="0" customHeight="1">
      <x:c r="A6" s="92" t="n">
        <x:v>122</x:v>
      </x:c>
      <x:c r="B6" s="92" t="n">
        <x:f>SQRT('拟合与方案'!$B$7^2+('拟合与方案'!$C$7*(A6-'拟合与方案'!$D$7))^2)</x:f>
        <x:v>4546.08480490639</x:v>
      </x:c>
      <x:c r="C6" s="92" t="n">
        <x:f>SQRT('拟合与方案'!$B$8^2+('拟合与方案'!$C$8*(A6-'拟合与方案'!$D$8))^2)</x:f>
        <x:v>4942.358322858734</x:v>
      </x:c>
      <x:c r="D6" s="92" t="n">
        <x:f>MAX(B6,C6)/MIN(B6,C6)</x:f>
        <x:v>1.0871680874770888</x:v>
      </x:c>
      <x:c r="E6" s="92" t="str">
        <x:f>IF(A6&lt;'拟合与方案'!$C$13,"",SQRT('拟合与方案'!$F$13^2+('拟合与方案'!$G$13*(A6-'拟合与方案'!$H$13))^2))</x:f>
      </x:c>
      <x:c r="F6" s="92" t="n">
        <x:f>C6</x:f>
        <x:v>4942.358322858734</x:v>
      </x:c>
      <x:c r="G6" s="92" t="str">
        <x:f>IF(E6="","",MAX(E6,F6)/MIN(E6,F6))</x:f>
      </x:c>
      <x:c r="H6" s="92" t="str">
        <x:f>IF(A6&lt;'拟合与方案'!$C$15,"",SQRT('拟合与方案'!$F$15^2+('拟合与方案'!$G$15*(A6-'拟合与方案'!$H$15))^2))</x:f>
      </x:c>
      <x:c r="I6" s="92" t="n">
        <x:f>C6</x:f>
        <x:v>4942.358322858734</x:v>
      </x:c>
      <x:c r="J6" s="92" t="str">
        <x:f>IF(H6="","",MAX(H6,I6)/MIN(H6,I6))</x:f>
      </x:c>
    </x:row>
    <x:row r="7" ht="15" hidden="0" customHeight="1">
      <x:c r="A7" s="92" t="n">
        <x:v>122.5</x:v>
      </x:c>
      <x:c r="B7" s="92" t="n">
        <x:f>SQRT('拟合与方案'!$B$7^2+('拟合与方案'!$C$7*(A7-'拟合与方案'!$D$7))^2)</x:f>
        <x:v>4526.732757044277</x:v>
      </x:c>
      <x:c r="C7" s="92" t="n">
        <x:f>SQRT('拟合与方案'!$B$8^2+('拟合与方案'!$C$8*(A7-'拟合与方案'!$D$8))^2)</x:f>
        <x:v>4920.78885998055</x:v>
      </x:c>
      <x:c r="D7" s="92" t="n">
        <x:f>MAX(B7,C7)/MIN(B7,C7)</x:f>
        <x:v>1.0870508872703084</x:v>
      </x:c>
      <x:c r="E7" s="92" t="str">
        <x:f>IF(A7&lt;'拟合与方案'!$C$13,"",SQRT('拟合与方案'!$F$13^2+('拟合与方案'!$G$13*(A7-'拟合与方案'!$H$13))^2))</x:f>
      </x:c>
      <x:c r="F7" s="92" t="n">
        <x:f>C7</x:f>
        <x:v>4920.78885998055</x:v>
      </x:c>
      <x:c r="G7" s="92" t="str">
        <x:f>IF(E7="","",MAX(E7,F7)/MIN(E7,F7))</x:f>
      </x:c>
      <x:c r="H7" s="92" t="str">
        <x:f>IF(A7&lt;'拟合与方案'!$C$15,"",SQRT('拟合与方案'!$F$15^2+('拟合与方案'!$G$15*(A7-'拟合与方案'!$H$15))^2))</x:f>
      </x:c>
      <x:c r="I7" s="92" t="n">
        <x:f>C7</x:f>
        <x:v>4920.78885998055</x:v>
      </x:c>
      <x:c r="J7" s="92" t="str">
        <x:f>IF(H7="","",MAX(H7,I7)/MIN(H7,I7))</x:f>
      </x:c>
    </x:row>
    <x:row r="8" ht="15" hidden="0" customHeight="1">
      <x:c r="A8" s="92" t="n">
        <x:v>123</x:v>
      </x:c>
      <x:c r="B8" s="92" t="n">
        <x:f>SQRT('拟合与方案'!$B$7^2+('拟合与方案'!$C$7*(A8-'拟合与方案'!$D$7))^2)</x:f>
        <x:v>4507.384044525946</x:v>
      </x:c>
      <x:c r="C8" s="92" t="n">
        <x:f>SQRT('拟合与方案'!$B$8^2+('拟合与方案'!$C$8*(A8-'拟合与方案'!$D$8))^2)</x:f>
        <x:v>4899.220444176899</x:v>
      </x:c>
      <x:c r="D8" s="92" t="n">
        <x:f>MAX(B8,C8)/MIN(B8,C8)</x:f>
        <x:v>1.0869321086865948</x:v>
      </x:c>
      <x:c r="E8" s="92" t="str">
        <x:f>IF(A8&lt;'拟合与方案'!$C$13,"",SQRT('拟合与方案'!$F$13^2+('拟合与方案'!$G$13*(A8-'拟合与方案'!$H$13))^2))</x:f>
      </x:c>
      <x:c r="F8" s="92" t="n">
        <x:f>C8</x:f>
        <x:v>4899.220444176899</x:v>
      </x:c>
      <x:c r="G8" s="92" t="str">
        <x:f>IF(E8="","",MAX(E8,F8)/MIN(E8,F8))</x:f>
      </x:c>
      <x:c r="H8" s="92" t="str">
        <x:f>IF(A8&lt;'拟合与方案'!$C$15,"",SQRT('拟合与方案'!$F$15^2+('拟合与方案'!$G$15*(A8-'拟合与方案'!$H$15))^2))</x:f>
      </x:c>
      <x:c r="I8" s="92" t="n">
        <x:f>C8</x:f>
        <x:v>4899.220444176899</x:v>
      </x:c>
      <x:c r="J8" s="92" t="str">
        <x:f>IF(H8="","",MAX(H8,I8)/MIN(H8,I8))</x:f>
      </x:c>
    </x:row>
    <x:row r="9" ht="15" hidden="0" customHeight="1">
      <x:c r="A9" s="92" t="n">
        <x:v>123.5</x:v>
      </x:c>
      <x:c r="B9" s="92" t="n">
        <x:f>SQRT('拟合与方案'!$B$7^2+('拟合与方案'!$C$7*(A9-'拟合与方案'!$D$7))^2)</x:f>
        <x:v>4488.038710489131</x:v>
      </x:c>
      <x:c r="C9" s="92" t="n">
        <x:f>SQRT('拟合与方案'!$B$8^2+('拟合与方案'!$C$8*(A9-'拟合与方案'!$D$8))^2)</x:f>
        <x:v>4877.653089337907</x:v>
      </x:c>
      <x:c r="D9" s="92" t="n">
        <x:f>MAX(B9,C9)/MIN(B9,C9)</x:f>
        <x:v>1.0868117242255948</x:v>
      </x:c>
      <x:c r="E9" s="92" t="str">
        <x:f>IF(A9&lt;'拟合与方案'!$C$13,"",SQRT('拟合与方案'!$F$13^2+('拟合与方案'!$G$13*(A9-'拟合与方案'!$H$13))^2))</x:f>
      </x:c>
      <x:c r="F9" s="92" t="n">
        <x:f>C9</x:f>
        <x:v>4877.653089337907</x:v>
      </x:c>
      <x:c r="G9" s="92" t="str">
        <x:f>IF(E9="","",MAX(E9,F9)/MIN(E9,F9))</x:f>
      </x:c>
      <x:c r="H9" s="92" t="str">
        <x:f>IF(A9&lt;'拟合与方案'!$C$15,"",SQRT('拟合与方案'!$F$15^2+('拟合与方案'!$G$15*(A9-'拟合与方案'!$H$15))^2))</x:f>
      </x:c>
      <x:c r="I9" s="92" t="n">
        <x:f>C9</x:f>
        <x:v>4877.653089337907</x:v>
      </x:c>
      <x:c r="J9" s="92" t="str">
        <x:f>IF(H9="","",MAX(H9,I9)/MIN(H9,I9))</x:f>
      </x:c>
    </x:row>
    <x:row r="10" ht="15" hidden="0" customHeight="1">
      <x:c r="A10" s="92" t="n">
        <x:v>124</x:v>
      </x:c>
      <x:c r="B10" s="92" t="n">
        <x:f>SQRT('拟合与方案'!$B$7^2+('拟合与方案'!$C$7*(A10-'拟合与方案'!$D$7))^2)</x:f>
        <x:v>4468.6967988109545</x:v>
      </x:c>
      <x:c r="C10" s="92" t="n">
        <x:f>SQRT('拟合与方案'!$B$8^2+('拟合与方案'!$C$8*(A10-'拟合与方案'!$D$8))^2)</x:f>
        <x:v>4856.086809599774</x:v>
      </x:c>
      <x:c r="D10" s="92" t="n">
        <x:f>MAX(B10,C10)/MIN(B10,C10)</x:f>
        <x:v>1.0866897057978733</x:v>
      </x:c>
      <x:c r="E10" s="92" t="str">
        <x:f>IF(A10&lt;'拟合与方案'!$C$13,"",SQRT('拟合与方案'!$F$13^2+('拟合与方案'!$G$13*(A10-'拟合与方案'!$H$13))^2))</x:f>
      </x:c>
      <x:c r="F10" s="92" t="n">
        <x:f>C10</x:f>
        <x:v>4856.086809599774</x:v>
      </x:c>
      <x:c r="G10" s="92" t="str">
        <x:f>IF(E10="","",MAX(E10,F10)/MIN(E10,F10))</x:f>
      </x:c>
      <x:c r="H10" s="92" t="str">
        <x:f>IF(A10&lt;'拟合与方案'!$C$15,"",SQRT('拟合与方案'!$F$15^2+('拟合与方案'!$G$15*(A10-'拟合与方案'!$H$15))^2))</x:f>
      </x:c>
      <x:c r="I10" s="92" t="n">
        <x:f>C10</x:f>
        <x:v>4856.086809599774</x:v>
      </x:c>
      <x:c r="J10" s="92" t="str">
        <x:f>IF(H10="","",MAX(H10,I10)/MIN(H10,I10))</x:f>
      </x:c>
    </x:row>
    <x:row r="11" ht="15" hidden="0" customHeight="1">
      <x:c r="A11" s="92" t="n">
        <x:v>124.5</x:v>
      </x:c>
      <x:c r="B11" s="92" t="n">
        <x:f>SQRT('拟合与方案'!$B$7^2+('拟合与方案'!$C$7*(A11-'拟合与方案'!$D$7))^2)</x:f>
        <x:v>4449.3583541236685</x:v>
      </x:c>
      <x:c r="C11" s="92" t="n">
        <x:f>SQRT('拟合与方案'!$B$8^2+('拟合与方案'!$C$8*(A11-'拟合与方案'!$D$8))^2)</x:f>
        <x:v>4834.521619350226</x:v>
      </x:c>
      <x:c r="D11" s="92" t="n">
        <x:f>MAX(B11,C11)/MIN(B11,C11)</x:f>
        <x:v>1.0865660247099647</x:v>
      </x:c>
      <x:c r="E11" s="92" t="str">
        <x:f>IF(A11&lt;'拟合与方案'!$C$13,"",SQRT('拟合与方案'!$F$13^2+('拟合与方案'!$G$13*(A11-'拟合与方案'!$H$13))^2))</x:f>
      </x:c>
      <x:c r="F11" s="92" t="n">
        <x:f>C11</x:f>
        <x:v>4834.521619350226</x:v>
      </x:c>
      <x:c r="G11" s="92" t="str">
        <x:f>IF(E11="","",MAX(E11,F11)/MIN(E11,F11))</x:f>
      </x:c>
      <x:c r="H11" s="92" t="str">
        <x:f>IF(A11&lt;'拟合与方案'!$C$15,"",SQRT('拟合与方案'!$F$15^2+('拟合与方案'!$G$15*(A11-'拟合与方案'!$H$15))^2))</x:f>
      </x:c>
      <x:c r="I11" s="92" t="n">
        <x:f>C11</x:f>
        <x:v>4834.521619350226</x:v>
      </x:c>
      <x:c r="J11" s="92" t="str">
        <x:f>IF(H11="","",MAX(H11,I11)/MIN(H11,I11))</x:f>
      </x:c>
    </x:row>
    <x:row r="12" ht="15" hidden="0" customHeight="1">
      <x:c r="A12" s="92" t="n">
        <x:v>125</x:v>
      </x:c>
      <x:c r="B12" s="92" t="n">
        <x:f>SQRT('拟合与方案'!$B$7^2+('拟合与方案'!$C$7*(A12-'拟合与方案'!$D$7))^2)</x:f>
        <x:v>4430.023421830788</x:v>
      </x:c>
      <x:c r="C12" s="92" t="n">
        <x:f>SQRT('拟合与方案'!$B$8^2+('拟合与方案'!$C$8*(A12-'拟合与方案'!$D$8))^2)</x:f>
        <x:v>4812.957533234121</x:v>
      </x:c>
      <x:c r="D12" s="92" t="n">
        <x:f>MAX(B12,C12)/MIN(B12,C12)</x:f>
        <x:v>1.086440651648988</x:v>
      </x:c>
      <x:c r="E12" s="92" t="str">
        <x:f>IF(A12&lt;'拟合与方案'!$C$13,"",SQRT('拟合与方案'!$F$13^2+('拟合与方案'!$G$13*(A12-'拟合与方案'!$H$13))^2))</x:f>
      </x:c>
      <x:c r="F12" s="92" t="n">
        <x:f>C12</x:f>
        <x:v>4812.957533234121</x:v>
      </x:c>
      <x:c r="G12" s="92" t="str">
        <x:f>IF(E12="","",MAX(E12,F12)/MIN(E12,F12))</x:f>
      </x:c>
      <x:c r="H12" s="92" t="str">
        <x:f>IF(A12&lt;'拟合与方案'!$C$15,"",SQRT('拟合与方案'!$F$15^2+('拟合与方案'!$G$15*(A12-'拟合与方案'!$H$15))^2))</x:f>
      </x:c>
      <x:c r="I12" s="92" t="n">
        <x:f>C12</x:f>
        <x:v>4812.957533234121</x:v>
      </x:c>
      <x:c r="J12" s="92" t="str">
        <x:f>IF(H12="","",MAX(H12,I12)/MIN(H12,I12))</x:f>
      </x:c>
    </x:row>
    <x:row r="13" ht="15" hidden="0" customHeight="1">
      <x:c r="A13" s="92" t="n">
        <x:v>125.5</x:v>
      </x:c>
      <x:c r="B13" s="92" t="n">
        <x:f>SQRT('拟合与方案'!$B$7^2+('拟合与方案'!$C$7*(A13-'拟合与方案'!$D$7))^2)</x:f>
        <x:v>4410.692048123641</x:v>
      </x:c>
      <x:c r="C13" s="92" t="n">
        <x:f>SQRT('拟合与方案'!$B$8^2+('拟合与方案'!$C$8*(A13-'拟合与方案'!$D$8))^2)</x:f>
        <x:v>4791.394566159203</x:v>
      </x:c>
      <x:c r="D13" s="92" t="n">
        <x:f>MAX(B13,C13)/MIN(B13,C13)</x:f>
        <x:v>1.0863135566668087</x:v>
      </x:c>
      <x:c r="E13" s="92" t="str">
        <x:f>IF(A13&lt;'拟合与方案'!$C$13,"",SQRT('拟合与方案'!$F$13^2+('拟合与方案'!$G$13*(A13-'拟合与方案'!$H$13))^2))</x:f>
      </x:c>
      <x:c r="F13" s="92" t="n">
        <x:f>C13</x:f>
        <x:v>4791.394566159203</x:v>
      </x:c>
      <x:c r="G13" s="92" t="str">
        <x:f>IF(E13="","",MAX(E13,F13)/MIN(E13,F13))</x:f>
      </x:c>
      <x:c r="H13" s="92" t="str">
        <x:f>IF(A13&lt;'拟合与方案'!$C$15,"",SQRT('拟合与方案'!$F$15^2+('拟合与方案'!$G$15*(A13-'拟合与方案'!$H$15))^2))</x:f>
      </x:c>
      <x:c r="I13" s="92" t="n">
        <x:f>C13</x:f>
        <x:v>4791.394566159203</x:v>
      </x:c>
      <x:c r="J13" s="92" t="str">
        <x:f>IF(H13="","",MAX(H13,I13)/MIN(H13,I13))</x:f>
      </x:c>
    </x:row>
    <x:row r="14" ht="15" hidden="0" customHeight="1">
      <x:c r="A14" s="92" t="n">
        <x:v>126</x:v>
      </x:c>
      <x:c r="B14" s="92" t="n">
        <x:f>SQRT('拟合与方案'!$B$7^2+('拟合与方案'!$C$7*(A14-'拟合与方案'!$D$7))^2)</x:f>
        <x:v>4391.364279998342</x:v>
      </x:c>
      <x:c r="C14" s="92" t="n">
        <x:f>SQRT('拟合与方案'!$B$8^2+('拟合与方案'!$C$8*(A14-'拟合与方案'!$D$8))^2)</x:f>
        <x:v>4769.832733302014</x:v>
      </x:c>
      <x:c r="D14" s="92" t="n">
        <x:f>MAX(B14,C14)/MIN(B14,C14)</x:f>
        <x:v>1.086184709163735</x:v>
      </x:c>
      <x:c r="E14" s="92" t="str">
        <x:f>IF(A14&lt;'拟合与方案'!$C$13,"",SQRT('拟合与方案'!$F$13^2+('拟合与方案'!$G$13*(A14-'拟合与方案'!$H$13))^2))</x:f>
      </x:c>
      <x:c r="F14" s="92" t="n">
        <x:f>C14</x:f>
        <x:v>4769.832733302014</x:v>
      </x:c>
      <x:c r="G14" s="92" t="str">
        <x:f>IF(E14="","",MAX(E14,F14)/MIN(E14,F14))</x:f>
      </x:c>
      <x:c r="H14" s="92" t="str">
        <x:f>IF(A14&lt;'拟合与方案'!$C$15,"",SQRT('拟合与方案'!$F$15^2+('拟合与方案'!$G$15*(A14-'拟合与方案'!$H$15))^2))</x:f>
      </x:c>
      <x:c r="I14" s="92" t="n">
        <x:f>C14</x:f>
        <x:v>4769.832733302014</x:v>
      </x:c>
      <x:c r="J14" s="92" t="str">
        <x:f>IF(H14="","",MAX(H14,I14)/MIN(H14,I14))</x:f>
      </x:c>
    </x:row>
    <x:row r="15" ht="15" hidden="0" customHeight="1">
      <x:c r="A15" s="92" t="n">
        <x:v>126.5</x:v>
      </x:c>
      <x:c r="B15" s="92" t="n">
        <x:f>SQRT('拟合与方案'!$B$7^2+('拟合与方案'!$C$7*(A15-'拟合与方案'!$D$7))^2)</x:f>
        <x:v>4372.040165273193</x:v>
      </x:c>
      <x:c r="C15" s="92" t="n">
        <x:f>SQRT('拟合与方案'!$B$8^2+('拟合与方案'!$C$8*(A15-'拟合与方案'!$D$8))^2)</x:f>
        <x:v>4748.272050113947</x:v>
      </x:c>
      <x:c r="D15" s="92" t="n">
        <x:f>MAX(B15,C15)/MIN(B15,C15)</x:f>
        <x:v>1.0860540778717307</x:v>
      </x:c>
      <x:c r="E15" s="92" t="str">
        <x:f>IF(A15&lt;'拟合与方案'!$C$13,"",SQRT('拟合与方案'!$F$13^2+('拟合与方案'!$G$13*(A15-'拟合与方案'!$H$13))^2))</x:f>
      </x:c>
      <x:c r="F15" s="92" t="n">
        <x:f>C15</x:f>
        <x:v>4748.272050113947</x:v>
      </x:c>
      <x:c r="G15" s="92" t="str">
        <x:f>IF(E15="","",MAX(E15,F15)/MIN(E15,F15))</x:f>
      </x:c>
      <x:c r="H15" s="92" t="str">
        <x:f>IF(A15&lt;'拟合与方案'!$C$15,"",SQRT('拟合与方案'!$F$15^2+('拟合与方案'!$G$15*(A15-'拟合与方案'!$H$15))^2))</x:f>
      </x:c>
      <x:c r="I15" s="92" t="n">
        <x:f>C15</x:f>
        <x:v>4748.272050113947</x:v>
      </x:c>
      <x:c r="J15" s="92" t="str">
        <x:f>IF(H15="","",MAX(H15,I15)/MIN(H15,I15))</x:f>
      </x:c>
    </x:row>
    <x:row r="16" ht="15" hidden="0" customHeight="1">
      <x:c r="A16" s="92" t="n">
        <x:v>127</x:v>
      </x:c>
      <x:c r="B16" s="92" t="n">
        <x:f>SQRT('拟合与方案'!$B$7^2+('拟合与方案'!$C$7*(A16-'拟合与方案'!$D$7))^2)</x:f>
        <x:v>4352.71975260655</x:v>
      </x:c>
      <x:c r="C16" s="92" t="n">
        <x:f>SQRT('拟合与方案'!$B$8^2+('拟合与方案'!$C$8*(A16-'拟合与方案'!$D$8))^2)</x:f>
        <x:v>4726.712532327495</x:v>
      </x:c>
      <x:c r="D16" s="92" t="n">
        <x:f>MAX(B16,C16)/MIN(B16,C16)</x:f>
        <x:v>1.0859216308371302</x:v>
      </x:c>
      <x:c r="E16" s="92" t="str">
        <x:f>IF(A16&lt;'拟合与方案'!$C$13,"",SQRT('拟合与方案'!$F$13^2+('拟合与方案'!$G$13*(A16-'拟合与方案'!$H$13))^2))</x:f>
      </x:c>
      <x:c r="F16" s="92" t="n">
        <x:f>C16</x:f>
        <x:v>4726.712532327495</x:v>
      </x:c>
      <x:c r="G16" s="92" t="str">
        <x:f>IF(E16="","",MAX(E16,F16)/MIN(E16,F16))</x:f>
      </x:c>
      <x:c r="H16" s="92" t="str">
        <x:f>IF(A16&lt;'拟合与方案'!$C$15,"",SQRT('拟合与方案'!$F$15^2+('拟合与方案'!$G$15*(A16-'拟合与方案'!$H$15))^2))</x:f>
      </x:c>
      <x:c r="I16" s="92" t="n">
        <x:f>C16</x:f>
        <x:v>4726.712532327495</x:v>
      </x:c>
      <x:c r="J16" s="92" t="str">
        <x:f>IF(H16="","",MAX(H16,I16)/MIN(H16,I16))</x:f>
      </x:c>
    </x:row>
    <x:row r="17" ht="15" hidden="0" customHeight="1">
      <x:c r="A17" s="92" t="n">
        <x:v>127.5</x:v>
      </x:c>
      <x:c r="B17" s="92" t="n">
        <x:f>SQRT('拟合与方案'!$B$7^2+('拟合与方案'!$C$7*(A17-'拟合与方案'!$D$7))^2)</x:f>
        <x:v>4333.403091515129</x:v>
      </x:c>
      <x:c r="C17" s="92" t="n">
        <x:f>SQRT('拟合与方案'!$B$8^2+('拟合与方案'!$C$8*(A17-'拟合与方案'!$D$8))^2)</x:f>
        <x:v>4705.154195962637</x:v>
      </x:c>
      <x:c r="D17" s="92" t="n">
        <x:f>MAX(B17,C17)/MIN(B17,C17)</x:f>
        <x:v>1.085787335402839</x:v>
      </x:c>
      <x:c r="E17" s="92" t="str">
        <x:f>IF(A17&lt;'拟合与方案'!$C$13,"",SQRT('拟合与方案'!$F$13^2+('拟合与方案'!$G$13*(A17-'拟合与方案'!$H$13))^2))</x:f>
      </x:c>
      <x:c r="F17" s="92" t="n">
        <x:f>C17</x:f>
        <x:v>4705.154195962637</x:v>
      </x:c>
      <x:c r="G17" s="92" t="str">
        <x:f>IF(E17="","",MAX(E17,F17)/MIN(E17,F17))</x:f>
      </x:c>
      <x:c r="H17" s="92" t="str">
        <x:f>IF(A17&lt;'拟合与方案'!$C$15,"",SQRT('拟合与方案'!$F$15^2+('拟合与方案'!$G$15*(A17-'拟合与方案'!$H$15))^2))</x:f>
      </x:c>
      <x:c r="I17" s="92" t="n">
        <x:f>C17</x:f>
        <x:v>4705.154195962637</x:v>
      </x:c>
      <x:c r="J17" s="92" t="str">
        <x:f>IF(H17="","",MAX(H17,I17)/MIN(H17,I17))</x:f>
      </x:c>
    </x:row>
    <x:row r="18" ht="15" hidden="0" customHeight="1">
      <x:c r="A18" s="92" t="n">
        <x:v>128</x:v>
      </x:c>
      <x:c r="B18" s="92" t="n">
        <x:f>SQRT('拟合与方案'!$B$7^2+('拟合与方案'!$C$7*(A18-'拟合与方案'!$D$7))^2)</x:f>
        <x:v>4314.090232392804</x:v>
      </x:c>
      <x:c r="C18" s="92" t="n">
        <x:f>SQRT('拟合与方案'!$B$8^2+('拟合与方案'!$C$8*(A18-'拟合与方案'!$D$8))^2)</x:f>
        <x:v>4683.597057333429</x:v>
      </x:c>
      <x:c r="D18" s="92" t="n">
        <x:f>MAX(B18,C18)/MIN(B18,C18)</x:f>
        <x:v>1.0856511581900035</x:v>
      </x:c>
      <x:c r="E18" s="92" t="str">
        <x:f>IF(A18&lt;'拟合与方案'!$C$13,"",SQRT('拟合与方案'!$F$13^2+('拟合与方案'!$G$13*(A18-'拟合与方案'!$H$13))^2))</x:f>
      </x:c>
      <x:c r="F18" s="92" t="n">
        <x:f>C18</x:f>
        <x:v>4683.597057333429</x:v>
      </x:c>
      <x:c r="G18" s="92" t="str">
        <x:f>IF(E18="","",MAX(E18,F18)/MIN(E18,F18))</x:f>
      </x:c>
      <x:c r="H18" s="92" t="str">
        <x:f>IF(A18&lt;'拟合与方案'!$C$15,"",SQRT('拟合与方案'!$F$15^2+('拟合与方案'!$G$15*(A18-'拟合与方案'!$H$15))^2))</x:f>
      </x:c>
      <x:c r="I18" s="92" t="n">
        <x:f>C18</x:f>
        <x:v>4683.597057333429</x:v>
      </x:c>
      <x:c r="J18" s="92" t="str">
        <x:f>IF(H18="","",MAX(H18,I18)/MIN(H18,I18))</x:f>
      </x:c>
    </x:row>
    <x:row r="19" ht="15" hidden="0" customHeight="1">
      <x:c r="A19" s="92" t="n">
        <x:v>128.5</x:v>
      </x:c>
      <x:c r="B19" s="92" t="n">
        <x:f>SQRT('拟合与方案'!$B$7^2+('拟合与方案'!$C$7*(A19-'拟合与方案'!$D$7))^2)</x:f>
        <x:v>4294.78122652989</x:v>
      </x:c>
      <x:c r="C19" s="92" t="n">
        <x:f>SQRT('拟合与方案'!$B$8^2+('拟合与方案'!$C$8*(A19-'拟合与方案'!$D$8))^2)</x:f>
        <x:v>4662.041133054752</x:v>
      </x:c>
      <x:c r="D19" s="92" t="n">
        <x:f>MAX(B19,C19)/MIN(B19,C19)</x:f>
        <x:v>1.0855130650791267</x:v>
      </x:c>
      <x:c r="E19" s="92" t="str">
        <x:f>IF(A19&lt;'拟合与方案'!$C$13,"",SQRT('拟合与方案'!$F$13^2+('拟合与方案'!$G$13*(A19-'拟合与方案'!$H$13))^2))</x:f>
      </x:c>
      <x:c r="F19" s="92" t="n">
        <x:f>C19</x:f>
        <x:v>4662.041133054752</x:v>
      </x:c>
      <x:c r="G19" s="92" t="str">
        <x:f>IF(E19="","",MAX(E19,F19)/MIN(E19,F19))</x:f>
      </x:c>
      <x:c r="H19" s="92" t="str">
        <x:f>IF(A19&lt;'拟合与方案'!$C$15,"",SQRT('拟合与方案'!$F$15^2+('拟合与方案'!$G$15*(A19-'拟合与方案'!$H$15))^2))</x:f>
      </x:c>
      <x:c r="I19" s="92" t="n">
        <x:f>C19</x:f>
        <x:v>4662.041133054752</x:v>
      </x:c>
      <x:c r="J19" s="92" t="str">
        <x:f>IF(H19="","",MAX(H19,I19)/MIN(H19,I19))</x:f>
      </x:c>
    </x:row>
    <x:row r="20" ht="15" hidden="0" customHeight="1">
      <x:c r="A20" s="92" t="n">
        <x:v>129</x:v>
      </x:c>
      <x:c r="B20" s="92" t="n">
        <x:f>SQRT('拟合与方案'!$B$7^2+('拟合与方案'!$C$7*(A20-'拟合与方案'!$D$7))^2)</x:f>
        <x:v>4275.476126132931</x:v>
      </x:c>
      <x:c r="C20" s="92" t="n">
        <x:f>SQRT('拟合与方案'!$B$8^2+('拟合与方案'!$C$8*(A20-'拟合与方案'!$D$8))^2)</x:f>
        <x:v>4640.48644004926</x:v>
      </x:c>
      <x:c r="D20" s="92" t="n">
        <x:f>MAX(B20,C20)/MIN(B20,C20)</x:f>
        <x:v>1.085373021190618</x:v>
      </x:c>
      <x:c r="E20" s="92" t="str">
        <x:f>IF(A20&lt;'拟合与方案'!$C$13,"",SQRT('拟合与方案'!$F$13^2+('拟合与方案'!$G$13*(A20-'拟合与方案'!$H$13))^2))</x:f>
      </x:c>
      <x:c r="F20" s="92" t="n">
        <x:f>C20</x:f>
        <x:v>4640.48644004926</x:v>
      </x:c>
      <x:c r="G20" s="92" t="str">
        <x:f>IF(E20="","",MAX(E20,F20)/MIN(E20,F20))</x:f>
      </x:c>
      <x:c r="H20" s="92" t="str">
        <x:f>IF(A20&lt;'拟合与方案'!$C$15,"",SQRT('拟合与方案'!$F$15^2+('拟合与方案'!$G$15*(A20-'拟合与方案'!$H$15))^2))</x:f>
      </x:c>
      <x:c r="I20" s="92" t="n">
        <x:f>C20</x:f>
        <x:v>4640.48644004926</x:v>
      </x:c>
      <x:c r="J20" s="92" t="str">
        <x:f>IF(H20="","",MAX(H20,I20)/MIN(H20,I20))</x:f>
      </x:c>
    </x:row>
    <x:row r="21" ht="15" hidden="0" customHeight="1">
      <x:c r="A21" s="92" t="n">
        <x:v>129.5</x:v>
      </x:c>
      <x:c r="B21" s="92" t="n">
        <x:f>SQRT('拟合与方案'!$B$7^2+('拟合与方案'!$C$7*(A21-'拟合与方案'!$D$7))^2)</x:f>
        <x:v>4256.174984345003</x:v>
      </x:c>
      <x:c r="C21" s="92" t="n">
        <x:f>SQRT('拟合与方案'!$B$8^2+('拟合与方案'!$C$8*(A21-'拟合与方案'!$D$8))^2)</x:f>
        <x:v>4618.932995554515</x:v>
      </x:c>
      <x:c r="D21" s="92" t="n">
        <x:f>MAX(B21,C21)/MIN(B21,C21)</x:f>
        <x:v>1.085230990864756</x:v>
      </x:c>
      <x:c r="E21" s="92" t="str">
        <x:f>IF(A21&lt;'拟合与方案'!$C$13,"",SQRT('拟合与方案'!$F$13^2+('拟合与方案'!$G$13*(A21-'拟合与方案'!$H$13))^2))</x:f>
      </x:c>
      <x:c r="F21" s="92" t="n">
        <x:f>C21</x:f>
        <x:v>4618.932995554515</x:v>
      </x:c>
      <x:c r="G21" s="92" t="str">
        <x:f>IF(E21="","",MAX(E21,F21)/MIN(E21,F21))</x:f>
      </x:c>
      <x:c r="H21" s="92" t="str">
        <x:f>IF(A21&lt;'拟合与方案'!$C$15,"",SQRT('拟合与方案'!$F$15^2+('拟合与方案'!$G$15*(A21-'拟合与方案'!$H$15))^2))</x:f>
      </x:c>
      <x:c r="I21" s="92" t="n">
        <x:f>C21</x:f>
        <x:v>4618.932995554515</x:v>
      </x:c>
      <x:c r="J21" s="92" t="str">
        <x:f>IF(H21="","",MAX(H21,I21)/MIN(H21,I21))</x:f>
      </x:c>
    </x:row>
    <x:row r="22" ht="15" hidden="0" customHeight="1">
      <x:c r="A22" s="92" t="n">
        <x:v>130</x:v>
      </x:c>
      <x:c r="B22" s="92" t="n">
        <x:f>SQRT('拟合与方案'!$B$7^2+('拟合与方案'!$C$7*(A22-'拟合与方案'!$D$7))^2)</x:f>
        <x:v>4236.877855266564</x:v>
      </x:c>
      <x:c r="C22" s="92" t="n">
        <x:f>SQRT('拟合与方案'!$B$8^2+('拟合与方案'!$C$8*(A22-'拟合与方案'!$D$8))^2)</x:f>
        <x:v>4597.380817130324</x:v>
      </x:c>
      <x:c r="D22" s="92" t="n">
        <x:f>MAX(B22,C22)/MIN(B22,C22)</x:f>
        <x:v>1.0850869376410377</x:v>
      </x:c>
      <x:c r="E22" s="92" t="str">
        <x:f>IF(A22&lt;'拟合与方案'!$C$13,"",SQRT('拟合与方案'!$F$13^2+('拟合与方案'!$G$13*(A22-'拟合与方案'!$H$13))^2))</x:f>
      </x:c>
      <x:c r="F22" s="92" t="n">
        <x:f>C22</x:f>
        <x:v>4597.380817130324</x:v>
      </x:c>
      <x:c r="G22" s="92" t="str">
        <x:f>IF(E22="","",MAX(E22,F22)/MIN(E22,F22))</x:f>
      </x:c>
      <x:c r="H22" s="92" t="str">
        <x:f>IF(A22&lt;'拟合与方案'!$C$15,"",SQRT('拟合与方案'!$F$15^2+('拟合与方案'!$G$15*(A22-'拟合与方案'!$H$15))^2))</x:f>
      </x:c>
      <x:c r="I22" s="92" t="n">
        <x:f>C22</x:f>
        <x:v>4597.380817130324</x:v>
      </x:c>
      <x:c r="J22" s="92" t="str">
        <x:f>IF(H22="","",MAX(H22,I22)/MIN(H22,I22))</x:f>
      </x:c>
    </x:row>
    <x:row r="23" ht="15" hidden="0" customHeight="1">
      <x:c r="A23" s="92" t="n">
        <x:v>130.5</x:v>
      </x:c>
      <x:c r="B23" s="92" t="n">
        <x:f>SQRT('拟合与方案'!$B$7^2+('拟合与方案'!$C$7*(A23-'拟合与方案'!$D$7))^2)</x:f>
        <x:v>4217.584793976843</x:v>
      </x:c>
      <x:c r="C23" s="92" t="n">
        <x:f>SQRT('拟合与方案'!$B$8^2+('拟合与方案'!$C$8*(A23-'拟合与方案'!$D$8))^2)</x:f>
        <x:v>4575.829922666282</x:v>
      </x:c>
      <x:c r="D23" s="92" t="n">
        <x:f>MAX(B23,C23)/MIN(B23,C23)</x:f>
        <x:v>1.0849408242369072</x:v>
      </x:c>
      <x:c r="E23" s="92" t="str">
        <x:f>IF(A23&lt;'拟合与方案'!$C$13,"",SQRT('拟合与方案'!$F$13^2+('拟合与方案'!$G$13*(A23-'拟合与方案'!$H$13))^2))</x:f>
      </x:c>
      <x:c r="F23" s="92" t="n">
        <x:f>C23</x:f>
        <x:v>4575.829922666282</x:v>
      </x:c>
      <x:c r="G23" s="92" t="str">
        <x:f>IF(E23="","",MAX(E23,F23)/MIN(E23,F23))</x:f>
      </x:c>
      <x:c r="H23" s="92" t="str">
        <x:f>IF(A23&lt;'拟合与方案'!$C$15,"",SQRT('拟合与方案'!$F$15^2+('拟合与方案'!$G$15*(A23-'拟合与方案'!$H$15))^2))</x:f>
      </x:c>
      <x:c r="I23" s="92" t="n">
        <x:f>C23</x:f>
        <x:v>4575.829922666282</x:v>
      </x:c>
      <x:c r="J23" s="92" t="str">
        <x:f>IF(H23="","",MAX(H23,I23)/MIN(H23,I23))</x:f>
      </x:c>
    </x:row>
    <x:row r="24" ht="15" hidden="0" customHeight="1">
      <x:c r="A24" s="92" t="n">
        <x:v>131</x:v>
      </x:c>
      <x:c r="B24" s="92" t="n">
        <x:f>SQRT('拟合与方案'!$B$7^2+('拟合与方案'!$C$7*(A24-'拟合与方案'!$D$7))^2)</x:f>
        <x:v>4198.2958565558065</x:v>
      </x:c>
      <x:c r="C24" s="92" t="n">
        <x:f>SQRT('拟合与方案'!$B$8^2+('拟合与方案'!$C$8*(A24-'拟合与方案'!$D$8))^2)</x:f>
        <x:v>4554.280330389518</x:v>
      </x:c>
      <x:c r="D24" s="92" t="n">
        <x:f>MAX(B24,C24)/MIN(B24,C24)</x:f>
        <x:v>1.0847926125258247</x:v>
      </x:c>
      <x:c r="E24" s="92" t="str">
        <x:f>IF(A24&lt;'拟合与方案'!$C$13,"",SQRT('拟合与方案'!$F$13^2+('拟合与方案'!$G$13*(A24-'拟合与方案'!$H$13))^2))</x:f>
      </x:c>
      <x:c r="F24" s="92" t="n">
        <x:f>C24</x:f>
        <x:v>4554.280330389518</x:v>
      </x:c>
      <x:c r="G24" s="92" t="str">
        <x:f>IF(E24="","",MAX(E24,F24)/MIN(E24,F24))</x:f>
      </x:c>
      <x:c r="H24" s="92" t="str">
        <x:f>IF(A24&lt;'拟合与方案'!$C$15,"",SQRT('拟合与方案'!$F$15^2+('拟合与方案'!$G$15*(A24-'拟合与方案'!$H$15))^2))</x:f>
      </x:c>
      <x:c r="I24" s="92" t="n">
        <x:f>C24</x:f>
        <x:v>4554.280330389518</x:v>
      </x:c>
      <x:c r="J24" s="92" t="str">
        <x:f>IF(H24="","",MAX(H24,I24)/MIN(H24,I24))</x:f>
      </x:c>
    </x:row>
    <x:row r="25" ht="15" hidden="0" customHeight="1">
      <x:c r="A25" s="92" t="n">
        <x:v>131.5</x:v>
      </x:c>
      <x:c r="B25" s="92" t="n">
        <x:f>SQRT('拟合与方案'!$B$7^2+('拟合与方案'!$C$7*(A25-'拟合与方案'!$D$7))^2)</x:f>
        <x:v>4179.011100106709</x:v>
      </x:c>
      <x:c r="C25" s="92" t="n">
        <x:f>SQRT('拟合与方案'!$B$8^2+('拟合与方案'!$C$8*(A25-'拟合与方案'!$D$8))^2)</x:f>
        <x:v>4532.732058872678</x:v>
      </x:c>
      <x:c r="D25" s="92" t="n">
        <x:f>MAX(B25,C25)/MIN(B25,C25)</x:f>
        <x:v>1.0846422635146715</x:v>
      </x:c>
      <x:c r="E25" s="92" t="str">
        <x:f>IF(A25&lt;'拟合与方案'!$C$13,"",SQRT('拟合与方案'!$F$13^2+('拟合与方案'!$G$13*(A25-'拟合与方案'!$H$13))^2))</x:f>
      </x:c>
      <x:c r="F25" s="92" t="n">
        <x:f>C25</x:f>
        <x:v>4532.732058872678</x:v>
      </x:c>
      <x:c r="G25" s="92" t="str">
        <x:f>IF(E25="","",MAX(E25,F25)/MIN(E25,F25))</x:f>
      </x:c>
      <x:c r="H25" s="92" t="str">
        <x:f>IF(A25&lt;'拟合与方案'!$C$15,"",SQRT('拟合与方案'!$F$15^2+('拟合与方案'!$G$15*(A25-'拟合与方案'!$H$15))^2))</x:f>
      </x:c>
      <x:c r="I25" s="92" t="n">
        <x:f>C25</x:f>
        <x:v>4532.732058872678</x:v>
      </x:c>
      <x:c r="J25" s="92" t="str">
        <x:f>IF(H25="","",MAX(H25,I25)/MIN(H25,I25))</x:f>
      </x:c>
    </x:row>
    <x:row r="26" ht="15" hidden="0" customHeight="1">
      <x:c r="A26" s="92" t="n">
        <x:v>132</x:v>
      </x:c>
      <x:c r="B26" s="92" t="n">
        <x:f>SQRT('拟合与方案'!$B$7^2+('拟合与方案'!$C$7*(A26-'拟合与方案'!$D$7))^2)</x:f>
        <x:v>4159.730582779249</x:v>
      </x:c>
      <x:c r="C26" s="92" t="n">
        <x:f>SQRT('拟合与方案'!$B$8^2+('拟合与方案'!$C$8*(A26-'拟合与方案'!$D$8))^2)</x:f>
        <x:v>4511.185127042114</x:v>
      </x:c>
      <x:c r="D26" s="92" t="n">
        <x:f>MAX(B26,C26)/MIN(B26,C26)</x:f>
        <x:v>1.084489737320451</x:v>
      </x:c>
      <x:c r="E26" s="92" t="str">
        <x:f>IF(A26&lt;'拟合与方案'!$C$13,"",SQRT('拟合与方案'!$F$13^2+('拟合与方案'!$G$13*(A26-'拟合与方案'!$H$13))^2))</x:f>
      </x:c>
      <x:c r="F26" s="92" t="n">
        <x:f>C26</x:f>
        <x:v>4511.185127042114</x:v>
      </x:c>
      <x:c r="G26" s="92" t="str">
        <x:f>IF(E26="","",MAX(E26,F26)/MIN(E26,F26))</x:f>
      </x:c>
      <x:c r="H26" s="92" t="str">
        <x:f>IF(A26&lt;'拟合与方案'!$C$15,"",SQRT('拟合与方案'!$F$15^2+('拟合与方案'!$G$15*(A26-'拟合与方案'!$H$15))^2))</x:f>
      </x:c>
      <x:c r="I26" s="92" t="n">
        <x:f>C26</x:f>
        <x:v>4511.185127042114</x:v>
      </x:c>
      <x:c r="J26" s="92" t="str">
        <x:f>IF(H26="","",MAX(H26,I26)/MIN(H26,I26))</x:f>
      </x:c>
    </x:row>
    <x:row r="27" ht="15" hidden="0" customHeight="1">
      <x:c r="A27" s="92" t="n">
        <x:v>132.5</x:v>
      </x:c>
      <x:c r="B27" s="92" t="n">
        <x:f>SQRT('拟合与方案'!$B$7^2+('拟合与方案'!$C$7*(A27-'拟合与方案'!$D$7))^2)</x:f>
        <x:v>4140.454363793347</x:v>
      </x:c>
      <x:c r="C27" s="92" t="n">
        <x:f>SQRT('拟合与方案'!$B$8^2+('拟合与方案'!$C$8*(A27-'拟合与方案'!$D$8))^2)</x:f>
        <x:v>4489.639554186319</x:v>
      </x:c>
      <x:c r="D27" s="92" t="n">
        <x:f>MAX(B27,C27)/MIN(B27,C27)</x:f>
        <x:v>1.0843349931462742</x:v>
      </x:c>
      <x:c r="E27" s="92" t="str">
        <x:f>IF(A27&lt;'拟合与方案'!$C$13,"",SQRT('拟合与方案'!$F$13^2+('拟合与方案'!$G$13*(A27-'拟合与方案'!$H$13))^2))</x:f>
      </x:c>
      <x:c r="F27" s="92" t="n">
        <x:f>C27</x:f>
        <x:v>4489.639554186319</x:v>
      </x:c>
      <x:c r="G27" s="92" t="str">
        <x:f>IF(E27="","",MAX(E27,F27)/MIN(E27,F27))</x:f>
      </x:c>
      <x:c r="H27" s="92" t="str">
        <x:f>IF(A27&lt;'拟合与方案'!$C$15,"",SQRT('拟合与方案'!$F$15^2+('拟合与方案'!$G$15*(A27-'拟合与方案'!$H$15))^2))</x:f>
      </x:c>
      <x:c r="I27" s="92" t="n">
        <x:f>C27</x:f>
        <x:v>4489.639554186319</x:v>
      </x:c>
      <x:c r="J27" s="92" t="str">
        <x:f>IF(H27="","",MAX(H27,I27)/MIN(H27,I27))</x:f>
      </x:c>
    </x:row>
    <x:row r="28" ht="15" hidden="0" customHeight="1">
      <x:c r="A28" s="92" t="n">
        <x:v>133</x:v>
      </x:c>
      <x:c r="B28" s="92" t="n">
        <x:f>SQRT('拟合与方案'!$B$7^2+('拟合与方案'!$C$7*(A28-'拟合与方案'!$D$7))^2)</x:f>
        <x:v>4121.182503463565</x:v>
      </x:c>
      <x:c r="C28" s="92" t="n">
        <x:f>SQRT('拟合与方案'!$B$8^2+('拟合与方案'!$C$8*(A28-'拟合与方案'!$D$8))^2)</x:f>
        <x:v>4468.095359964603</x:v>
      </x:c>
      <x:c r="D28" s="92" t="n">
        <x:f>MAX(B28,C28)/MIN(B28,C28)</x:f>
        <x:v>1.0841779892565986</x:v>
      </x:c>
      <x:c r="E28" s="92" t="str">
        <x:f>IF(A28&lt;'拟合与方案'!$C$13,"",SQRT('拟合与方案'!$F$13^2+('拟合与方案'!$G$13*(A28-'拟合与方案'!$H$13))^2))</x:f>
      </x:c>
      <x:c r="F28" s="92" t="n">
        <x:f>C28</x:f>
        <x:v>4468.095359964603</x:v>
      </x:c>
      <x:c r="G28" s="92" t="str">
        <x:f>IF(E28="","",MAX(E28,F28)/MIN(E28,F28))</x:f>
      </x:c>
      <x:c r="H28" s="92" t="str">
        <x:f>IF(A28&lt;'拟合与方案'!$C$15,"",SQRT('拟合与方案'!$F$15^2+('拟合与方案'!$G$15*(A28-'拟合与方案'!$H$15))^2))</x:f>
      </x:c>
      <x:c r="I28" s="92" t="n">
        <x:f>C28</x:f>
        <x:v>4468.095359964603</x:v>
      </x:c>
      <x:c r="J28" s="92" t="str">
        <x:f>IF(H28="","",MAX(H28,I28)/MIN(H28,I28))</x:f>
      </x:c>
    </x:row>
    <x:row r="29" ht="15" hidden="0" customHeight="1">
      <x:c r="A29" s="92" t="n">
        <x:v>133.5</x:v>
      </x:c>
      <x:c r="B29" s="92" t="n">
        <x:f>SQRT('拟合与方案'!$B$7^2+('拟合与方案'!$C$7*(A29-'拟合与方案'!$D$7))^2)</x:f>
        <x:v>4101.915063224194</x:v>
      </x:c>
      <x:c r="C29" s="92" t="n">
        <x:f>SQRT('拟合与方案'!$B$8^2+('拟合与方案'!$C$8*(A29-'拟合与方案'!$D$8))^2)</x:f>
        <x:v>4446.552564416014</x:v>
      </x:c>
      <x:c r="D29" s="92" t="n">
        <x:f>MAX(B29,C29)/MIN(B29,C29)</x:f>
        <x:v>1.0840186829516962</x:v>
      </x:c>
      <x:c r="E29" s="92" t="str">
        <x:f>IF(A29&lt;'拟合与方案'!$C$13,"",SQRT('拟合与方案'!$F$13^2+('拟合与方案'!$G$13*(A29-'拟合与方案'!$H$13))^2))</x:f>
      </x:c>
      <x:c r="F29" s="92" t="n">
        <x:f>C29</x:f>
        <x:v>4446.552564416014</x:v>
      </x:c>
      <x:c r="G29" s="92" t="str">
        <x:f>IF(E29="","",MAX(E29,F29)/MIN(E29,F29))</x:f>
      </x:c>
      <x:c r="H29" s="92" t="str">
        <x:f>IF(A29&lt;'拟合与方案'!$C$15,"",SQRT('拟合与方案'!$F$15^2+('拟合与方案'!$G$15*(A29-'拟合与方案'!$H$15))^2))</x:f>
      </x:c>
      <x:c r="I29" s="92" t="n">
        <x:f>C29</x:f>
        <x:v>4446.552564416014</x:v>
      </x:c>
      <x:c r="J29" s="92" t="str">
        <x:f>IF(H29="","",MAX(H29,I29)/MIN(H29,I29))</x:f>
      </x:c>
    </x:row>
    <x:row r="30" ht="15" hidden="0" customHeight="1">
      <x:c r="A30" s="92" t="n">
        <x:v>134</x:v>
      </x:c>
      <x:c r="B30" s="92" t="n">
        <x:f>SQRT('拟合与方案'!$B$7^2+('拟合与方案'!$C$7*(A30-'拟合与方案'!$D$7))^2)</x:f>
        <x:v>4082.6521056550164</x:v>
      </x:c>
      <x:c r="C30" s="92" t="n">
        <x:f>SQRT('拟合与方案'!$B$8^2+('拟合与方案'!$C$8*(A30-'拟合与方案'!$D$8))^2)</x:f>
        <x:v>4425.011187968523</x:v>
      </x:c>
      <x:c r="D30" s="92" t="n">
        <x:f>MAX(B30,C30)/MIN(B30,C30)</x:f>
        <x:v>1.0838570305413222</x:v>
      </x:c>
      <x:c r="E30" s="92" t="str">
        <x:f>IF(A30&lt;'拟合与方案'!$C$13,"",SQRT('拟合与方案'!$F$13^2+('拟合与方案'!$G$13*(A30-'拟合与方案'!$H$13))^2))</x:f>
      </x:c>
      <x:c r="F30" s="92" t="n">
        <x:f>C30</x:f>
        <x:v>4425.011187968523</x:v>
      </x:c>
      <x:c r="G30" s="92" t="str">
        <x:f>IF(E30="","",MAX(E30,F30)/MIN(E30,F30))</x:f>
      </x:c>
      <x:c r="H30" s="92" t="str">
        <x:f>IF(A30&lt;'拟合与方案'!$C$15,"",SQRT('拟合与方案'!$F$15^2+('拟合与方案'!$G$15*(A30-'拟合与方案'!$H$15))^2))</x:f>
      </x:c>
      <x:c r="I30" s="92" t="n">
        <x:f>C30</x:f>
        <x:v>4425.011187968523</x:v>
      </x:c>
      <x:c r="J30" s="92" t="str">
        <x:f>IF(H30="","",MAX(H30,I30)/MIN(H30,I30))</x:f>
      </x:c>
    </x:row>
    <x:row r="31" ht="15" hidden="0" customHeight="1">
      <x:c r="A31" s="92" t="n">
        <x:v>134.5</x:v>
      </x:c>
      <x:c r="B31" s="92" t="n">
        <x:f>SQRT('拟合与方案'!$B$7^2+('拟合与方案'!$C$7*(A31-'拟合与方案'!$D$7))^2)</x:f>
        <x:v>4063.393694507783</x:v>
      </x:c>
      <x:c r="C31" s="92" t="n">
        <x:f>SQRT('拟合与方案'!$B$8^2+('拟合与方案'!$C$8*(A31-'拟合与方案'!$D$8))^2)</x:f>
        <x:v>4403.471251448462</x:v>
      </x:c>
      <x:c r="D31" s="92" t="n">
        <x:f>MAX(B31,C31)/MIN(B31,C31)</x:f>
        <x:v>1.0836929873175565</x:v>
      </x:c>
      <x:c r="E31" s="92" t="str">
        <x:f>IF(A31&lt;'拟合与方案'!$C$13,"",SQRT('拟合与方案'!$F$13^2+('拟合与方案'!$G$13*(A31-'拟合与方案'!$H$13))^2))</x:f>
      </x:c>
      <x:c r="F31" s="92" t="n">
        <x:f>C31</x:f>
        <x:v>4403.471251448462</x:v>
      </x:c>
      <x:c r="G31" s="92" t="str">
        <x:f>IF(E31="","",MAX(E31,F31)/MIN(E31,F31))</x:f>
      </x:c>
      <x:c r="H31" s="92" t="str">
        <x:f>IF(A31&lt;'拟合与方案'!$C$15,"",SQRT('拟合与方案'!$F$15^2+('拟合与方案'!$G$15*(A31-'拟合与方案'!$H$15))^2))</x:f>
      </x:c>
      <x:c r="I31" s="92" t="n">
        <x:f>C31</x:f>
        <x:v>4403.471251448462</x:v>
      </x:c>
      <x:c r="J31" s="92" t="str">
        <x:f>IF(H31="","",MAX(H31,I31)/MIN(H31,I31))</x:f>
      </x:c>
    </x:row>
    <x:row r="32" ht="15" hidden="0" customHeight="1">
      <x:c r="A32" s="92" t="n">
        <x:v>135</x:v>
      </x:c>
      <x:c r="B32" s="92" t="n">
        <x:f>SQRT('拟合与方案'!$B$7^2+('拟合与方案'!$C$7*(A32-'拟合与方案'!$D$7))^2)</x:f>
        <x:v>4044.1398947334096</x:v>
      </x:c>
      <x:c r="C32" s="92" t="n">
        <x:f>SQRT('拟合与方案'!$B$8^2+('拟合与方案'!$C$8*(A32-'拟合与方案'!$D$8))^2)</x:f>
        <x:v>4381.9327760902615</x:v>
      </x:c>
      <x:c r="D32" s="92" t="n">
        <x:f>MAX(B32,C32)/MIN(B32,C32)</x:f>
        <x:v>1.0835265075267926</x:v>
      </x:c>
      <x:c r="E32" s="92" t="str">
        <x:f>IF(A32&lt;'拟合与方案'!$C$13,"",SQRT('拟合与方案'!$F$13^2+('拟合与方案'!$G$13*(A32-'拟合与方案'!$H$13))^2))</x:f>
      </x:c>
      <x:c r="F32" s="92" t="n">
        <x:f>C32</x:f>
        <x:v>4381.9327760902615</x:v>
      </x:c>
      <x:c r="G32" s="92" t="str">
        <x:f>IF(E32="","",MAX(E32,F32)/MIN(E32,F32))</x:f>
      </x:c>
      <x:c r="H32" s="92" t="str">
        <x:f>IF(A32&lt;'拟合与方案'!$C$15,"",SQRT('拟合与方案'!$F$15^2+('拟合与方案'!$G$15*(A32-'拟合与方案'!$H$15))^2))</x:f>
      </x:c>
      <x:c r="I32" s="92" t="n">
        <x:f>C32</x:f>
        <x:v>4381.9327760902615</x:v>
      </x:c>
      <x:c r="J32" s="92" t="str">
        <x:f>IF(H32="","",MAX(H32,I32)/MIN(H32,I32))</x:f>
      </x:c>
    </x:row>
    <x:row r="33" ht="15" hidden="0" customHeight="1">
      <x:c r="A33" s="92" t="n">
        <x:v>135.5</x:v>
      </x:c>
      <x:c r="B33" s="92" t="n">
        <x:f>SQRT('拟合与方案'!$B$7^2+('拟合与方案'!$C$7*(A33-'拟合与方案'!$D$7))^2)</x:f>
        <x:v>4024.8907725099284</x:v>
      </x:c>
      <x:c r="C33" s="92" t="n">
        <x:f>SQRT('拟合与方案'!$B$8^2+('拟合与方案'!$C$8*(A33-'拟合与方案'!$D$8))^2)</x:f>
        <x:v>4360.395783546451</x:v>
      </x:c>
      <x:c r="D33" s="92" t="n">
        <x:f>MAX(B33,C33)/MIN(B33,C33)</x:f>
        <x:v>1.083357544340837</x:v>
      </x:c>
      <x:c r="E33" s="92" t="str">
        <x:f>IF(A33&lt;'拟合与方案'!$C$13,"",SQRT('拟合与方案'!$F$13^2+('拟合与方案'!$G$13*(A33-'拟合与方案'!$H$13))^2))</x:f>
      </x:c>
      <x:c r="F33" s="92" t="n">
        <x:f>C33</x:f>
        <x:v>4360.395783546451</x:v>
      </x:c>
      <x:c r="G33" s="92" t="str">
        <x:f>IF(E33="","",MAX(E33,F33)/MIN(E33,F33))</x:f>
      </x:c>
      <x:c r="H33" s="92" t="str">
        <x:f>IF(A33&lt;'拟合与方案'!$C$15,"",SQRT('拟合与方案'!$F$15^2+('拟合与方案'!$G$15*(A33-'拟合与方案'!$H$15))^2))</x:f>
      </x:c>
      <x:c r="I33" s="92" t="n">
        <x:f>C33</x:f>
        <x:v>4360.395783546451</x:v>
      </x:c>
      <x:c r="J33" s="92" t="str">
        <x:f>IF(H33="","",MAX(H33,I33)/MIN(H33,I33))</x:f>
      </x:c>
    </x:row>
    <x:row r="34" ht="15" hidden="0" customHeight="1">
      <x:c r="A34" s="92" t="n">
        <x:v>136</x:v>
      </x:c>
      <x:c r="B34" s="92" t="n">
        <x:f>SQRT('拟合与方案'!$B$7^2+('拟合与方案'!$C$7*(A34-'拟合与方案'!$D$7))^2)</x:f>
        <x:v>4005.6463952712124</x:v>
      </x:c>
      <x:c r="C34" s="92" t="n">
        <x:f>SQRT('拟合与方案'!$B$8^2+('拟合与方案'!$C$8*(A34-'拟合与方案'!$D$8))^2)</x:f>
        <x:v>4338.860295897963</x:v>
      </x:c>
      <x:c r="D34" s="92" t="n">
        <x:f>MAX(B34,C34)/MIN(B34,C34)</x:f>
        <x:v>1.083186049827094</x:v>
      </x:c>
      <x:c r="E34" s="92" t="str">
        <x:f>IF(A34&lt;'拟合与方案'!$C$13,"",SQRT('拟合与方案'!$F$13^2+('拟合与方案'!$G$13*(A34-'拟合与方案'!$H$13))^2))</x:f>
      </x:c>
      <x:c r="F34" s="92" t="n">
        <x:f>C34</x:f>
        <x:v>4338.860295897963</x:v>
      </x:c>
      <x:c r="G34" s="92" t="str">
        <x:f>IF(E34="","",MAX(E34,F34)/MIN(E34,F34))</x:f>
      </x:c>
      <x:c r="H34" s="92" t="str">
        <x:f>IF(A34&lt;'拟合与方案'!$C$15,"",SQRT('拟合与方案'!$F$15^2+('拟合与方案'!$G$15*(A34-'拟合与方案'!$H$15))^2))</x:f>
      </x:c>
      <x:c r="I34" s="92" t="n">
        <x:f>C34</x:f>
        <x:v>4338.860295897963</x:v>
      </x:c>
      <x:c r="J34" s="92" t="str">
        <x:f>IF(H34="","",MAX(H34,I34)/MIN(H34,I34))</x:f>
      </x:c>
    </x:row>
    <x:row r="35" ht="15" hidden="0" customHeight="1">
      <x:c r="A35" s="92" t="n">
        <x:v>136.5</x:v>
      </x:c>
      <x:c r="B35" s="92" t="n">
        <x:f>SQRT('拟合与方案'!$B$7^2+('拟合与方案'!$C$7*(A35-'拟合与方案'!$D$7))^2)</x:f>
        <x:v>3986.4068317364977</x:v>
      </x:c>
      <x:c r="C35" s="92" t="n">
        <x:f>SQRT('拟合与方案'!$B$8^2+('拟合与方案'!$C$8*(A35-'拟合与方案'!$D$8))^2)</x:f>
        <x:v>4317.326335664746</x:v>
      </x:c>
      <x:c r="D35" s="92" t="n">
        <x:f>MAX(B35,C35)/MIN(B35,C35)</x:f>
        <x:v>1.0830119749177978</x:v>
      </x:c>
      <x:c r="E35" s="92" t="str">
        <x:f>IF(A35&lt;'拟合与方案'!$C$13,"",SQRT('拟合与方案'!$F$13^2+('拟合与方案'!$G$13*(A35-'拟合与方案'!$H$13))^2))</x:f>
      </x:c>
      <x:c r="F35" s="92" t="n">
        <x:f>C35</x:f>
        <x:v>4317.326335664746</x:v>
      </x:c>
      <x:c r="G35" s="92" t="str">
        <x:f>IF(E35="","",MAX(E35,F35)/MIN(E35,F35))</x:f>
      </x:c>
      <x:c r="H35" s="92" t="str">
        <x:f>IF(A35&lt;'拟合与方案'!$C$15,"",SQRT('拟合与方案'!$F$15^2+('拟合与方案'!$G$15*(A35-'拟合与方案'!$H$15))^2))</x:f>
      </x:c>
      <x:c r="I35" s="92" t="n">
        <x:f>C35</x:f>
        <x:v>4317.326335664746</x:v>
      </x:c>
      <x:c r="J35" s="92" t="str">
        <x:f>IF(H35="","",MAX(H35,I35)/MIN(H35,I35))</x:f>
      </x:c>
    </x:row>
    <x:row r="36" ht="15" hidden="0" customHeight="1">
      <x:c r="A36" s="92" t="n">
        <x:v>137</x:v>
      </x:c>
      <x:c r="B36" s="92" t="n">
        <x:f>SQRT('拟合与方案'!$B$7^2+('拟合与方案'!$C$7*(A36-'拟合与方案'!$D$7))^2)</x:f>
        <x:v>3967.172151940732</x:v>
      </x:c>
      <x:c r="C36" s="92" t="n">
        <x:f>SQRT('拟合与方案'!$B$8^2+('拟合与方案'!$C$8*(A36-'拟合与方案'!$D$8))^2)</x:f>
        <x:v>4295.793925816687</x:v>
      </x:c>
      <x:c r="D36" s="92" t="n">
        <x:f>MAX(B36,C36)/MIN(B36,C36)</x:f>
        <x:v>1.0828352693782632</x:v>
      </x:c>
      <x:c r="E36" s="92" t="str">
        <x:f>IF(A36&lt;'拟合与方案'!$C$13,"",SQRT('拟合与方案'!$F$13^2+('拟合与方案'!$G$13*(A36-'拟合与方案'!$H$13))^2))</x:f>
      </x:c>
      <x:c r="F36" s="92" t="n">
        <x:f>C36</x:f>
        <x:v>4295.793925816687</x:v>
      </x:c>
      <x:c r="G36" s="92" t="str">
        <x:f>IF(E36="","",MAX(E36,F36)/MIN(E36,F36))</x:f>
      </x:c>
      <x:c r="H36" s="92" t="str">
        <x:f>IF(A36&lt;'拟合与方案'!$C$15,"",SQRT('拟合与方案'!$F$15^2+('拟合与方案'!$G$15*(A36-'拟合与方案'!$H$15))^2))</x:f>
      </x:c>
      <x:c r="I36" s="92" t="n">
        <x:f>C36</x:f>
        <x:v>4295.793925816687</x:v>
      </x:c>
      <x:c r="J36" s="92" t="str">
        <x:f>IF(H36="","",MAX(H36,I36)/MIN(H36,I36))</x:f>
      </x:c>
    </x:row>
    <x:row r="37" ht="15" hidden="0" customHeight="1">
      <x:c r="A37" s="92" t="n">
        <x:v>137.5</x:v>
      </x:c>
      <x:c r="B37" s="92" t="n">
        <x:f>SQRT('拟合与方案'!$B$7^2+('拟合与方案'!$C$7*(A37-'拟合与方案'!$D$7))^2)</x:f>
        <x:v>3947.9424272657734</x:v>
      </x:c>
      <x:c r="C37" s="92" t="n">
        <x:f>SQRT('拟合与方案'!$B$8^2+('拟合与方案'!$C$8*(A37-'拟合与方案'!$D$8))^2)</x:f>
        <x:v>4274.263089784862</x:v>
      </x:c>
      <x:c r="D37" s="92" t="n">
        <x:f>MAX(B37,C37)/MIN(B37,C37)</x:f>
        <x:v>1.082655881774114</x:v>
      </x:c>
      <x:c r="E37" s="92" t="str">
        <x:f>IF(A37&lt;'拟合与方案'!$C$13,"",SQRT('拟合与方案'!$F$13^2+('拟合与方案'!$G$13*(A37-'拟合与方案'!$H$13))^2))</x:f>
      </x:c>
      <x:c r="F37" s="92" t="n">
        <x:f>C37</x:f>
        <x:v>4274.263089784862</x:v>
      </x:c>
      <x:c r="G37" s="92" t="str">
        <x:f>IF(E37="","",MAX(E37,F37)/MIN(E37,F37))</x:f>
      </x:c>
      <x:c r="H37" s="92" t="str">
        <x:f>IF(A37&lt;'拟合与方案'!$C$15,"",SQRT('拟合与方案'!$F$15^2+('拟合与方案'!$G$15*(A37-'拟合与方案'!$H$15))^2))</x:f>
      </x:c>
      <x:c r="I37" s="92" t="n">
        <x:f>C37</x:f>
        <x:v>4274.263089784862</x:v>
      </x:c>
      <x:c r="J37" s="92" t="str">
        <x:f>IF(H37="","",MAX(H37,I37)/MIN(H37,I37))</x:f>
      </x:c>
    </x:row>
    <x:row r="38" ht="15" hidden="0" customHeight="1">
      <x:c r="A38" s="92" t="n">
        <x:v>138</x:v>
      </x:c>
      <x:c r="B38" s="92" t="n">
        <x:f>SQRT('拟合与方案'!$B$7^2+('拟合与方案'!$C$7*(A38-'拟合与方案'!$D$7))^2)</x:f>
        <x:v>3928.717730472469</x:v>
      </x:c>
      <x:c r="C38" s="92" t="n">
        <x:f>SQRT('拟合与方案'!$B$8^2+('拟合与方案'!$C$8*(A38-'拟合与方案'!$D$8))^2)</x:f>
        <x:v>4252.733851473128</x:v>
      </x:c>
      <x:c r="D38" s="92" t="n">
        <x:f>MAX(B38,C38)/MIN(B38,C38)</x:f>
        <x:v>1.0824737594374572</x:v>
      </x:c>
      <x:c r="E38" s="92" t="str">
        <x:f>IF(A38&lt;'拟合与方案'!$C$13,"",SQRT('拟合与方案'!$F$13^2+('拟合与方案'!$G$13*(A38-'拟合与方案'!$H$13))^2))</x:f>
      </x:c>
      <x:c r="F38" s="92" t="n">
        <x:f>C38</x:f>
        <x:v>4252.733851473128</x:v>
      </x:c>
      <x:c r="G38" s="92" t="str">
        <x:f>IF(E38="","",MAX(E38,F38)/MIN(E38,F38))</x:f>
      </x:c>
      <x:c r="H38" s="92" t="str">
        <x:f>IF(A38&lt;'拟合与方案'!$C$15,"",SQRT('拟合与方案'!$F$15^2+('拟合与方案'!$G$15*(A38-'拟合与方案'!$H$15))^2))</x:f>
      </x:c>
      <x:c r="I38" s="92" t="n">
        <x:f>C38</x:f>
        <x:v>4252.733851473128</x:v>
      </x:c>
      <x:c r="J38" s="92" t="str">
        <x:f>IF(H38="","",MAX(H38,I38)/MIN(H38,I38))</x:f>
      </x:c>
    </x:row>
    <x:row r="39" ht="15" hidden="0" customHeight="1">
      <x:c r="A39" s="92" t="n">
        <x:v>138.5</x:v>
      </x:c>
      <x:c r="B39" s="92" t="n">
        <x:f>SQRT('拟合与方案'!$B$7^2+('拟合与方案'!$C$7*(A39-'拟合与方案'!$D$7))^2)</x:f>
        <x:v>3909.498135733639</x:v>
      </x:c>
      <x:c r="C39" s="92" t="n">
        <x:f>SQRT('拟合与方案'!$B$8^2+('拟合与方案'!$C$8*(A39-'拟合与方案'!$D$8))^2)</x:f>
        <x:v>4231.206235270059</x:v>
      </x:c>
      <x:c r="D39" s="92" t="n">
        <x:f>MAX(B39,C39)/MIN(B39,C39)</x:f>
        <x:v>1.082288848431961</x:v>
      </x:c>
      <x:c r="E39" s="92" t="str">
        <x:f>IF(A39&lt;'拟合与方案'!$C$13,"",SQRT('拟合与方案'!$F$13^2+('拟合与方案'!$G$13*(A39-'拟合与方案'!$H$13))^2))</x:f>
      </x:c>
      <x:c r="F39" s="92" t="n">
        <x:f>C39</x:f>
        <x:v>4231.206235270059</x:v>
      </x:c>
      <x:c r="G39" s="92" t="str">
        <x:f>IF(E39="","",MAX(E39,F39)/MIN(E39,F39))</x:f>
      </x:c>
      <x:c r="H39" s="92" t="str">
        <x:f>IF(A39&lt;'拟合与方案'!$C$15,"",SQRT('拟合与方案'!$F$15^2+('拟合与方案'!$G$15*(A39-'拟合与方案'!$H$15))^2))</x:f>
      </x:c>
      <x:c r="I39" s="92" t="n">
        <x:f>C39</x:f>
        <x:v>4231.206235270059</x:v>
      </x:c>
      <x:c r="J39" s="92" t="str">
        <x:f>IF(H39="","",MAX(H39,I39)/MIN(H39,I39))</x:f>
      </x:c>
    </x:row>
    <x:row r="40" ht="15" hidden="0" customHeight="1">
      <x:c r="A40" s="92" t="n">
        <x:v>139</x:v>
      </x:c>
      <x:c r="B40" s="92" t="n">
        <x:f>SQRT('拟合与方案'!$B$7^2+('拟合与方案'!$C$7*(A40-'拟合与方案'!$D$7))^2)</x:f>
        <x:v>3890.283718668001</x:v>
      </x:c>
      <x:c r="C40" s="92" t="n">
        <x:f>SQRT('拟合与方案'!$B$8^2+('拟合与方案'!$C$8*(A40-'拟合与方案'!$D$8))^2)</x:f>
        <x:v>4209.68026606125</x:v>
      </x:c>
      <x:c r="D40" s="92" t="n">
        <x:f>MAX(B40,C40)/MIN(B40,C40)</x:f>
        <x:v>1.082101093516801</x:v>
      </x:c>
      <x:c r="E40" s="92" t="str">
        <x:f>IF(A40&lt;'拟合与方案'!$C$13,"",SQRT('拟合与方案'!$F$13^2+('拟合与方案'!$G$13*(A40-'拟合与方案'!$H$13))^2))</x:f>
      </x:c>
      <x:c r="F40" s="92" t="n">
        <x:f>C40</x:f>
        <x:v>4209.68026606125</x:v>
      </x:c>
      <x:c r="G40" s="92" t="str">
        <x:f>IF(E40="","",MAX(E40,F40)/MIN(E40,F40))</x:f>
      </x:c>
      <x:c r="H40" s="92" t="str">
        <x:f>IF(A40&lt;'拟合与方案'!$C$15,"",SQRT('拟合与方案'!$F$15^2+('拟合与方案'!$G$15*(A40-'拟合与方案'!$H$15))^2))</x:f>
      </x:c>
      <x:c r="I40" s="92" t="n">
        <x:f>C40</x:f>
        <x:v>4209.68026606125</x:v>
      </x:c>
      <x:c r="J40" s="92" t="str">
        <x:f>IF(H40="","",MAX(H40,I40)/MIN(H40,I40))</x:f>
      </x:c>
    </x:row>
    <x:row r="41" ht="15" hidden="0" customHeight="1">
      <x:c r="A41" s="92" t="n">
        <x:v>139.5</x:v>
      </x:c>
      <x:c r="B41" s="92" t="n">
        <x:f>SQRT('拟合与方案'!$B$7^2+('拟合与方案'!$C$7*(A41-'拟合与方案'!$D$7))^2)</x:f>
        <x:v>3871.0745563750547</x:v>
      </x:c>
      <x:c r="C41" s="92" t="n">
        <x:f>SQRT('拟合与方案'!$B$8^2+('拟合与方案'!$C$8*(A41-'拟合与方案'!$D$8))^2)</x:f>
        <x:v>4188.155969241994</x:v>
      </x:c>
      <x:c r="D41" s="92" t="n">
        <x:f>MAX(B41,C41)/MIN(B41,C41)</x:f>
        <x:v>1.0819104381094278</x:v>
      </x:c>
      <x:c r="E41" s="92" t="str">
        <x:f>IF(A41&lt;'拟合与方案'!$C$13,"",SQRT('拟合与方案'!$F$13^2+('拟合与方案'!$G$13*(A41-'拟合与方案'!$H$13))^2))</x:f>
      </x:c>
      <x:c r="F41" s="92" t="n">
        <x:f>C41</x:f>
        <x:v>4188.155969241994</x:v>
      </x:c>
      <x:c r="G41" s="92" t="str">
        <x:f>IF(E41="","",MAX(E41,F41)/MIN(E41,F41))</x:f>
      </x:c>
      <x:c r="H41" s="92" t="str">
        <x:f>IF(A41&lt;'拟合与方案'!$C$15,"",SQRT('拟合与方案'!$F$15^2+('拟合与方案'!$G$15*(A41-'拟合与方案'!$H$15))^2))</x:f>
      </x:c>
      <x:c r="I41" s="92" t="n">
        <x:f>C41</x:f>
        <x:v>4188.155969241994</x:v>
      </x:c>
      <x:c r="J41" s="92" t="str">
        <x:f>IF(H41="","",MAX(H41,I41)/MIN(H41,I41))</x:f>
      </x:c>
    </x:row>
    <x:row r="42" ht="15" hidden="0" customHeight="1">
      <x:c r="A42" s="92" t="n">
        <x:v>140</x:v>
      </x:c>
      <x:c r="B42" s="92" t="n">
        <x:f>SQRT('拟合与方案'!$B$7^2+('拟合与方案'!$C$7*(A42-'拟合与方案'!$D$7))^2)</x:f>
        <x:v>3851.870727470978</x:v>
      </x:c>
      <x:c r="C42" s="92" t="n">
        <x:f>SQRT('拟合与方案'!$B$8^2+('拟合与方案'!$C$8*(A42-'拟合与方案'!$D$8))^2)</x:f>
        <x:v>4166.633370730345</x:v>
      </x:c>
      <x:c r="D42" s="92" t="n">
        <x:f>MAX(B42,C42)/MIN(B42,C42)</x:f>
        <x:v>1.0817168242471185</x:v>
      </x:c>
      <x:c r="E42" s="92" t="str">
        <x:f>IF(A42&lt;'拟合与方案'!$C$13,"",SQRT('拟合与方案'!$F$13^2+('拟合与方案'!$G$13*(A42-'拟合与方案'!$H$13))^2))</x:f>
      </x:c>
      <x:c r="F42" s="92" t="n">
        <x:f>C42</x:f>
        <x:v>4166.633370730345</x:v>
      </x:c>
      <x:c r="G42" s="92" t="str">
        <x:f>IF(E42="","",MAX(E42,F42)/MIN(E42,F42))</x:f>
      </x:c>
      <x:c r="H42" s="92" t="str">
        <x:f>IF(A42&lt;'拟合与方案'!$C$15,"",SQRT('拟合与方案'!$F$15^2+('拟合与方案'!$G$15*(A42-'拟合与方案'!$H$15))^2))</x:f>
      </x:c>
      <x:c r="I42" s="92" t="n">
        <x:f>C42</x:f>
        <x:v>4166.633370730345</x:v>
      </x:c>
      <x:c r="J42" s="92" t="str">
        <x:f>IF(H42="","",MAX(H42,I42)/MIN(H42,I42))</x:f>
      </x:c>
    </x:row>
    <x:row r="43" ht="15" hidden="0" customHeight="1">
      <x:c r="A43" s="92" t="n">
        <x:v>140.5</x:v>
      </x:c>
      <x:c r="B43" s="92" t="n">
        <x:f>SQRT('拟合与方案'!$B$7^2+('拟合与方案'!$C$7*(A43-'拟合与方案'!$D$7))^2)</x:f>
        <x:v>3832.6723121255427</x:v>
      </x:c>
      <x:c r="C43" s="92" t="n">
        <x:f>SQRT('拟合与方案'!$B$8^2+('拟合与方案'!$C$8*(A43-'拟合与方案'!$D$8))^2)</x:f>
        <x:v>4145.112496980583</x:v>
      </x:c>
      <x:c r="D43" s="92" t="n">
        <x:f>MAX(B43,C43)/MIN(B43,C43)</x:f>
        <x:v>1.0815201925472637</x:v>
      </x:c>
      <x:c r="E43" s="92" t="str">
        <x:f>IF(A43&lt;'拟合与方案'!$C$13,"",SQRT('拟合与方案'!$F$13^2+('拟合与方案'!$G$13*(A43-'拟合与方案'!$H$13))^2))</x:f>
      </x:c>
      <x:c r="F43" s="92" t="n">
        <x:f>C43</x:f>
        <x:v>4145.112496980583</x:v>
      </x:c>
      <x:c r="G43" s="92" t="str">
        <x:f>IF(E43="","",MAX(E43,F43)/MIN(E43,F43))</x:f>
      </x:c>
      <x:c r="H43" s="92" t="str">
        <x:f>IF(A43&lt;'拟合与方案'!$C$15,"",SQRT('拟合与方案'!$F$15^2+('拟合与方案'!$G$15*(A43-'拟合与方案'!$H$15))^2))</x:f>
      </x:c>
      <x:c r="I43" s="92" t="n">
        <x:f>C43</x:f>
        <x:v>4145.112496980583</x:v>
      </x:c>
      <x:c r="J43" s="92" t="str">
        <x:f>IF(H43="","",MAX(H43,I43)/MIN(H43,I43))</x:f>
      </x:c>
    </x:row>
    <x:row r="44" ht="15" hidden="0" customHeight="1">
      <x:c r="A44" s="92" t="n">
        <x:v>141</x:v>
      </x:c>
      <x:c r="B44" s="92" t="n">
        <x:f>SQRT('拟合与方案'!$B$7^2+('拟合与方案'!$C$7*(A44-'拟合与方案'!$D$7))^2)</x:f>
        <x:v>3813.479392100103</x:v>
      </x:c>
      <x:c r="C44" s="92" t="n">
        <x:f>SQRT('拟合与方案'!$B$8^2+('拟合与方案'!$C$8*(A44-'拟合与方案'!$D$8))^2)</x:f>
        <x:v>4123.593374997108</x:v>
      </x:c>
      <x:c r="D44" s="92" t="n">
        <x:f>MAX(B44,C44)/MIN(B44,C44)</x:f>
        <x:v>1.0813204821663462</x:v>
      </x:c>
      <x:c r="E44" s="92" t="str">
        <x:f>IF(A44&lt;'拟合与方案'!$C$13,"",SQRT('拟合与方案'!$F$13^2+('拟合与方案'!$G$13*(A44-'拟合与方案'!$H$13))^2))</x:f>
      </x:c>
      <x:c r="F44" s="92" t="n">
        <x:f>C44</x:f>
        <x:v>4123.593374997108</x:v>
      </x:c>
      <x:c r="G44" s="92" t="str">
        <x:f>IF(E44="","",MAX(E44,F44)/MIN(E44,F44))</x:f>
      </x:c>
      <x:c r="H44" s="92" t="str">
        <x:f>IF(A44&lt;'拟合与方案'!$C$15,"",SQRT('拟合与方案'!$F$15^2+('拟合与方案'!$G$15*(A44-'拟合与方案'!$H$15))^2))</x:f>
      </x:c>
      <x:c r="I44" s="92" t="n">
        <x:f>C44</x:f>
        <x:v>4123.593374997108</x:v>
      </x:c>
      <x:c r="J44" s="92" t="str">
        <x:f>IF(H44="","",MAX(H44,I44)/MIN(H44,I44))</x:f>
      </x:c>
    </x:row>
    <x:row r="45" ht="15" hidden="0" customHeight="1">
      <x:c r="A45" s="92" t="n">
        <x:v>141.5</x:v>
      </x:c>
      <x:c r="B45" s="92" t="n">
        <x:f>SQRT('拟合与方案'!$B$7^2+('拟合与方案'!$C$7*(A45-'拟合与方案'!$D$7))^2)</x:f>
        <x:v>3794.2920507866897</x:v>
      </x:c>
      <x:c r="C45" s="92" t="n">
        <x:f>SQRT('拟合与方案'!$B$8^2+('拟合与方案'!$C$8*(A45-'拟合与方案'!$D$8))^2)</x:f>
        <x:v>4102.076032348743</x:v>
      </x:c>
      <x:c r="D45" s="92" t="n">
        <x:f>MAX(B45,C45)/MIN(B45,C45)</x:f>
        <x:v>1.0811176307575583</x:v>
      </x:c>
      <x:c r="E45" s="92" t="str">
        <x:f>IF(A45&lt;'拟合与方案'!$C$13,"",SQRT('拟合与方案'!$F$13^2+('拟合与方案'!$G$13*(A45-'拟合与方案'!$H$13))^2))</x:f>
      </x:c>
      <x:c r="F45" s="92" t="n">
        <x:f>C45</x:f>
        <x:v>4102.076032348743</x:v>
      </x:c>
      <x:c r="G45" s="92" t="str">
        <x:f>IF(E45="","",MAX(E45,F45)/MIN(E45,F45))</x:f>
      </x:c>
      <x:c r="H45" s="92" t="str">
        <x:f>IF(A45&lt;'拟合与方案'!$C$15,"",SQRT('拟合与方案'!$F$15^2+('拟合与方案'!$G$15*(A45-'拟合与方案'!$H$15))^2))</x:f>
      </x:c>
      <x:c r="I45" s="92" t="n">
        <x:f>C45</x:f>
        <x:v>4102.076032348743</x:v>
      </x:c>
      <x:c r="J45" s="92" t="str">
        <x:f>IF(H45="","",MAX(H45,I45)/MIN(H45,I45))</x:f>
      </x:c>
    </x:row>
    <x:row r="46" ht="15" hidden="0" customHeight="1">
      <x:c r="A46" s="92" t="n">
        <x:v>142</x:v>
      </x:c>
      <x:c r="B46" s="92" t="n">
        <x:f>SQRT('拟合与方案'!$B$7^2+('拟合与方案'!$C$7*(A46-'拟合与方案'!$D$7))^2)</x:f>
        <x:v>3775.110373248235</x:v>
      </x:c>
      <x:c r="C46" s="92" t="n">
        <x:f>SQRT('拟合与方案'!$B$8^2+('拟合与方案'!$C$8*(A46-'拟合与方案'!$D$8))^2)</x:f>
        <x:v>4080.560497183506</x:v>
      </x:c>
      <x:c r="D46" s="92" t="n">
        <x:f>MAX(B46,C46)/MIN(B46,C46)</x:f>
        <x:v>1.080911574427015</x:v>
      </x:c>
      <x:c r="E46" s="92" t="str">
        <x:f>IF(A46&lt;'拟合与方案'!$C$13,"",SQRT('拟合与方案'!$F$13^2+('拟合与方案'!$G$13*(A46-'拟合与方案'!$H$13))^2))</x:f>
      </x:c>
      <x:c r="F46" s="92" t="n">
        <x:f>C46</x:f>
        <x:v>4080.560497183506</x:v>
      </x:c>
      <x:c r="G46" s="92" t="str">
        <x:f>IF(E46="","",MAX(E46,F46)/MIN(E46,F46))</x:f>
      </x:c>
      <x:c r="H46" s="92" t="str">
        <x:f>IF(A46&lt;'拟合与方案'!$C$15,"",SQRT('拟合与方案'!$F$15^2+('拟合与方案'!$G$15*(A46-'拟合与方案'!$H$15))^2))</x:f>
      </x:c>
      <x:c r="I46" s="92" t="n">
        <x:f>C46</x:f>
        <x:v>4080.560497183506</x:v>
      </x:c>
      <x:c r="J46" s="92" t="str">
        <x:f>IF(H46="","",MAX(H46,I46)/MIN(H46,I46))</x:f>
      </x:c>
    </x:row>
    <x:row r="47" ht="15" hidden="0" customHeight="1">
      <x:c r="A47" s="92" t="n">
        <x:v>142.5</x:v>
      </x:c>
      <x:c r="B47" s="92" t="n">
        <x:f>SQRT('拟合与方案'!$B$7^2+('拟合与方案'!$C$7*(A47-'拟合与方案'!$D$7))^2)</x:f>
        <x:v>3755.9344462599806</x:v>
      </x:c>
      <x:c r="C47" s="92" t="n">
        <x:f>SQRT('拟合与方案'!$B$8^2+('拟合与方案'!$C$8*(A47-'拟合与方案'!$D$8))^2)</x:f>
        <x:v>4059.0467982438354</x:v>
      </x:c>
      <x:c r="D47" s="92" t="n">
        <x:f>MAX(B47,C47)/MIN(B47,C47)</x:f>
        <x:v>1.0807022476885033</x:v>
      </x:c>
      <x:c r="E47" s="92" t="str">
        <x:f>IF(A47&lt;'拟合与方案'!$C$13,"",SQRT('拟合与方案'!$F$13^2+('拟合与方案'!$G$13*(A47-'拟合与方案'!$H$13))^2))</x:f>
      </x:c>
      <x:c r="F47" s="92" t="n">
        <x:f>C47</x:f>
        <x:v>4059.0467982438354</x:v>
      </x:c>
      <x:c r="G47" s="92" t="str">
        <x:f>IF(E47="","",MAX(E47,F47)/MIN(E47,F47))</x:f>
      </x:c>
      <x:c r="H47" s="92" t="str">
        <x:f>IF(A47&lt;'拟合与方案'!$C$15,"",SQRT('拟合与方案'!$F$15^2+('拟合与方案'!$G$15*(A47-'拟合与方案'!$H$15))^2))</x:f>
      </x:c>
      <x:c r="I47" s="92" t="n">
        <x:f>C47</x:f>
        <x:v>4059.0467982438354</x:v>
      </x:c>
      <x:c r="J47" s="92" t="str">
        <x:f>IF(H47="","",MAX(H47,I47)/MIN(H47,I47))</x:f>
      </x:c>
    </x:row>
    <x:row r="48" ht="15" hidden="0" customHeight="1">
      <x:c r="A48" s="92" t="n">
        <x:v>143</x:v>
      </x:c>
      <x:c r="B48" s="92" t="n">
        <x:f>SQRT('拟合与方案'!$B$7^2+('拟合与方案'!$C$7*(A48-'拟合与方案'!$D$7))^2)</x:f>
        <x:v>3736.7643583521</x:v>
      </x:c>
      <x:c r="C48" s="92" t="n">
        <x:f>SQRT('拟合与方案'!$B$8^2+('拟合与方案'!$C$8*(A48-'拟合与方案'!$D$8))^2)</x:f>
        <x:v>4037.534964882298</x:v>
      </x:c>
      <x:c r="D48" s="92" t="n">
        <x:f>MAX(B48,C48)/MIN(B48,C48)</x:f>
        <x:v>1.0804895834167174</x:v>
      </x:c>
      <x:c r="E48" s="92" t="str">
        <x:f>IF(A48&lt;'拟合与方案'!$C$13,"",SQRT('拟合与方案'!$F$13^2+('拟合与方案'!$G$13*(A48-'拟合与方案'!$H$13))^2))</x:f>
      </x:c>
      <x:c r="F48" s="92" t="n">
        <x:f>C48</x:f>
        <x:v>4037.534964882298</x:v>
      </x:c>
      <x:c r="G48" s="92" t="str">
        <x:f>IF(E48="","",MAX(E48,F48)/MIN(E48,F48))</x:f>
      </x:c>
      <x:c r="H48" s="92" t="str">
        <x:f>IF(A48&lt;'拟合与方案'!$C$15,"",SQRT('拟合与方案'!$F$15^2+('拟合与方案'!$G$15*(A48-'拟合与方案'!$H$15))^2))</x:f>
      </x:c>
      <x:c r="I48" s="92" t="n">
        <x:f>C48</x:f>
        <x:v>4037.534964882298</x:v>
      </x:c>
      <x:c r="J48" s="92" t="str">
        <x:f>IF(H48="","",MAX(H48,I48)/MIN(H48,I48))</x:f>
      </x:c>
    </x:row>
    <x:row r="49" ht="15" hidden="0" customHeight="1">
      <x:c r="A49" s="92" t="n">
        <x:v>143.5</x:v>
      </x:c>
      <x:c r="B49" s="92" t="n">
        <x:f>SQRT('拟合与方案'!$B$7^2+('拟合与方案'!$C$7*(A49-'拟合与方案'!$D$7))^2)</x:f>
        <x:v>3717.6001998535785</x:v>
      </x:c>
      <x:c r="C49" s="92" t="n">
        <x:f>SQRT('拟合与方案'!$B$8^2+('拟合与方案'!$C$8*(A49-'拟合与方案'!$D$8))^2)</x:f>
        <x:v>4016.025027077794</x:v>
      </x:c>
      <x:c r="D49" s="92" t="n">
        <x:f>MAX(B49,C49)/MIN(B49,C49)</x:f>
        <x:v>1.0802735127989205</x:v>
      </x:c>
      <x:c r="E49" s="92" t="str">
        <x:f>IF(A49&lt;'拟合与方案'!$C$13,"",SQRT('拟合与方案'!$F$13^2+('拟合与方案'!$G$13*(A49-'拟合与方案'!$H$13))^2))</x:f>
      </x:c>
      <x:c r="F49" s="92" t="n">
        <x:f>C49</x:f>
        <x:v>4016.025027077794</x:v>
      </x:c>
      <x:c r="G49" s="92" t="str">
        <x:f>IF(E49="","",MAX(E49,F49)/MIN(E49,F49))</x:f>
      </x:c>
      <x:c r="H49" s="92" t="str">
        <x:f>IF(A49&lt;'拟合与方案'!$C$15,"",SQRT('拟合与方案'!$F$15^2+('拟合与方案'!$G$15*(A49-'拟合与方案'!$H$15))^2))</x:f>
      </x:c>
      <x:c r="I49" s="92" t="n">
        <x:f>C49</x:f>
        <x:v>4016.025027077794</x:v>
      </x:c>
      <x:c r="J49" s="92" t="str">
        <x:f>IF(H49="","",MAX(H49,I49)/MIN(H49,I49))</x:f>
      </x:c>
    </x:row>
    <x:row r="50" ht="15" hidden="0" customHeight="1">
      <x:c r="A50" s="92" t="n">
        <x:v>144</x:v>
      </x:c>
      <x:c r="B50" s="92" t="n">
        <x:f>SQRT('拟合与方案'!$B$7^2+('拟合与方案'!$C$7*(A50-'拟合与方案'!$D$7))^2)</x:f>
        <x:v>3698.4420629373967</x:v>
      </x:c>
      <x:c r="C50" s="92" t="n">
        <x:f>SQRT('拟合与方案'!$B$8^2+('拟合与方案'!$C$8*(A50-'拟合与方案'!$D$8))^2)</x:f>
        <x:v>3994.5170154522857</x:v>
      </x:c>
      <x:c r="D50" s="92" t="n">
        <x:f>MAX(B50,C50)/MIN(B50,C50)</x:f>
        <x:v>1.080053965284977</x:v>
      </x:c>
      <x:c r="E50" s="92" t="str">
        <x:f>IF(A50&lt;'拟合与方案'!$C$13,"",SQRT('拟合与方案'!$F$13^2+('拟合与方案'!$G$13*(A50-'拟合与方案'!$H$13))^2))</x:f>
      </x:c>
      <x:c r="F50" s="92" t="n">
        <x:f>C50</x:f>
        <x:v>3994.5170154522857</x:v>
      </x:c>
      <x:c r="G50" s="92" t="str">
        <x:f>IF(E50="","",MAX(E50,F50)/MIN(E50,F50))</x:f>
      </x:c>
      <x:c r="H50" s="92" t="str">
        <x:f>IF(A50&lt;'拟合与方案'!$C$15,"",SQRT('拟合与方案'!$F$15^2+('拟合与方案'!$G$15*(A50-'拟合与方案'!$H$15))^2))</x:f>
      </x:c>
      <x:c r="I50" s="92" t="n">
        <x:f>C50</x:f>
        <x:v>3994.5170154522857</x:v>
      </x:c>
      <x:c r="J50" s="92" t="str">
        <x:f>IF(H50="","",MAX(H50,I50)/MIN(H50,I50))</x:f>
      </x:c>
    </x:row>
    <x:row r="51" ht="15" hidden="0" customHeight="1">
      <x:c r="A51" s="92" t="n">
        <x:v>144.5</x:v>
      </x:c>
      <x:c r="B51" s="92" t="n">
        <x:f>SQRT('拟合与方案'!$B$7^2+('拟合与方案'!$C$7*(A51-'拟合与方案'!$D$7))^2)</x:f>
        <x:v>3679.290041667054</x:v>
      </x:c>
      <x:c r="C51" s="92" t="n">
        <x:f>SQRT('拟合与方案'!$B$8^2+('拟合与方案'!$C$8*(A51-'拟合与方案'!$D$8))^2)</x:f>
        <x:v>3973.010961288051</x:v>
      </x:c>
      <x:c r="D51" s="92" t="n">
        <x:f>MAX(B51,C51)/MIN(B51,C51)</x:f>
        <x:v>1.0798308685356903</x:v>
      </x:c>
      <x:c r="E51" s="92" t="str">
        <x:f>IF(A51&lt;'拟合与方案'!$C$13,"",SQRT('拟合与方案'!$F$13^2+('拟合与方案'!$G$13*(A51-'拟合与方案'!$H$13))^2))</x:f>
      </x:c>
      <x:c r="F51" s="92" t="n">
        <x:f>C51</x:f>
        <x:v>3973.010961288051</x:v>
      </x:c>
      <x:c r="G51" s="92" t="str">
        <x:f>IF(E51="","",MAX(E51,F51)/MIN(E51,F51))</x:f>
      </x:c>
      <x:c r="H51" s="92" t="str">
        <x:f>IF(A51&lt;'拟合与方案'!$C$15,"",SQRT('拟合与方案'!$F$15^2+('拟合与方案'!$G$15*(A51-'拟合与方案'!$H$15))^2))</x:f>
      </x:c>
      <x:c r="I51" s="92" t="n">
        <x:f>C51</x:f>
        <x:v>3973.010961288051</x:v>
      </x:c>
      <x:c r="J51" s="92" t="str">
        <x:f>IF(H51="","",MAX(H51,I51)/MIN(H51,I51))</x:f>
      </x:c>
    </x:row>
    <x:row r="52" ht="15" hidden="0" customHeight="1">
      <x:c r="A52" s="92" t="n">
        <x:v>145</x:v>
      </x:c>
      <x:c r="B52" s="92" t="n">
        <x:f>SQRT('拟合与方案'!$B$7^2+('拟合与方案'!$C$7*(A52-'拟合与方案'!$D$7))^2)</x:f>
        <x:v>3660.144232044491</x:v>
      </x:c>
      <x:c r="C52" s="92" t="n">
        <x:f>SQRT('拟合与方案'!$B$8^2+('拟合与方案'!$C$8*(A52-'拟合与方案'!$D$8))^2)</x:f>
        <x:v>3951.506896545507</x:v>
      </x:c>
      <x:c r="D52" s="92" t="n">
        <x:f>MAX(B52,C52)/MIN(B52,C52)</x:f>
        <x:v>1.0796041483693843</x:v>
      </x:c>
      <x:c r="E52" s="92" t="str">
        <x:f>IF(A52&lt;'拟合与方案'!$C$13,"",SQRT('拟合与方案'!$F$13^2+('拟合与方案'!$G$13*(A52-'拟合与方案'!$H$13))^2))</x:f>
      </x:c>
      <x:c r="F52" s="92" t="n">
        <x:f>C52</x:f>
        <x:v>3951.506896545507</x:v>
      </x:c>
      <x:c r="G52" s="92" t="str">
        <x:f>IF(E52="","",MAX(E52,F52)/MIN(E52,F52))</x:f>
      </x:c>
      <x:c r="H52" s="92" t="str">
        <x:f>IF(A52&lt;'拟合与方案'!$C$15,"",SQRT('拟合与方案'!$F$15^2+('拟合与方案'!$G$15*(A52-'拟合与方案'!$H$15))^2))</x:f>
      </x:c>
      <x:c r="I52" s="92" t="n">
        <x:f>C52</x:f>
        <x:v>3951.506896545507</x:v>
      </x:c>
      <x:c r="J52" s="92" t="str">
        <x:f>IF(H52="","",MAX(H52,I52)/MIN(H52,I52))</x:f>
      </x:c>
    </x:row>
    <x:row r="53" ht="15" hidden="0" customHeight="1">
      <x:c r="A53" s="92" t="n">
        <x:v>145.5</x:v>
      </x:c>
      <x:c r="B53" s="92" t="n">
        <x:f>SQRT('拟合与方案'!$B$7^2+('拟合与方案'!$C$7*(A53-'拟合与方案'!$D$7))^2)</x:f>
        <x:v>3641.0047320594404</x:v>
      </x:c>
      <x:c r="C53" s="92" t="n">
        <x:f>SQRT('拟合与方案'!$B$8^2+('拟合与方案'!$C$8*(A53-'拟合与方案'!$D$8))^2)</x:f>
        <x:v>3930.0048538816004</x:v>
      </x:c>
      <x:c r="D53" s="92" t="n">
        <x:f>MAX(B53,C53)/MIN(B53,C53)</x:f>
        <x:v>1.0793737287066625</x:v>
      </x:c>
      <x:c r="E53" s="92" t="str">
        <x:f>IF(A53&lt;'拟合与方案'!$C$13,"",SQRT('拟合与方案'!$F$13^2+('拟合与方案'!$G$13*(A53-'拟合与方案'!$H$13))^2))</x:f>
      </x:c>
      <x:c r="F53" s="92" t="n">
        <x:f>C53</x:f>
        <x:v>3930.0048538816004</x:v>
      </x:c>
      <x:c r="G53" s="92" t="str">
        <x:f>IF(E53="","",MAX(E53,F53)/MIN(E53,F53))</x:f>
      </x:c>
      <x:c r="H53" s="92" t="str">
        <x:f>IF(A53&lt;'拟合与方案'!$C$15,"",SQRT('拟合与方案'!$F$15^2+('拟合与方案'!$G$15*(A53-'拟合与方案'!$H$15))^2))</x:f>
      </x:c>
      <x:c r="I53" s="92" t="n">
        <x:f>C53</x:f>
        <x:v>3930.0048538816004</x:v>
      </x:c>
      <x:c r="J53" s="92" t="str">
        <x:f>IF(H53="","",MAX(H53,I53)/MIN(H53,I53))</x:f>
      </x:c>
    </x:row>
    <x:row r="54" ht="15" hidden="0" customHeight="1">
      <x:c r="A54" s="92" t="n">
        <x:v>146</x:v>
      </x:c>
      <x:c r="B54" s="92" t="n">
        <x:f>SQRT('拟合与方案'!$B$7^2+('拟合与方案'!$C$7*(A54-'拟合与方案'!$D$7))^2)</x:f>
        <x:v>3621.871641740274</x:v>
      </x:c>
      <x:c r="C54" s="92" t="n">
        <x:f>SQRT('拟合与方案'!$B$8^2+('拟合与方案'!$C$8*(A54-'拟合与方案'!$D$8))^2)</x:f>
        <x:v>3908.504866668802</x:v>
      </x:c>
      <x:c r="D54" s="92" t="n">
        <x:f>MAX(B54,C54)/MIN(B54,C54)</x:f>
        <x:v>1.0791395315132715</x:v>
      </x:c>
      <x:c r="E54" s="92" t="str">
        <x:f>IF(A54&lt;'拟合与方案'!$C$13,"",SQRT('拟合与方案'!$F$13^2+('拟合与方案'!$G$13*(A54-'拟合与方案'!$H$13))^2))</x:f>
      </x:c>
      <x:c r="F54" s="92" t="n">
        <x:f>C54</x:f>
        <x:v>3908.504866668802</x:v>
      </x:c>
      <x:c r="G54" s="92" t="str">
        <x:f>IF(E54="","",MAX(E54,F54)/MIN(E54,F54))</x:f>
      </x:c>
      <x:c r="H54" s="92" t="str">
        <x:f>IF(A54&lt;'拟合与方案'!$C$15,"",SQRT('拟合与方案'!$F$15^2+('拟合与方案'!$G$15*(A54-'拟合与方案'!$H$15))^2))</x:f>
      </x:c>
      <x:c r="I54" s="92" t="n">
        <x:f>C54</x:f>
        <x:v>3908.504866668802</x:v>
      </x:c>
      <x:c r="J54" s="92" t="str">
        <x:f>IF(H54="","",MAX(H54,I54)/MIN(H54,I54))</x:f>
      </x:c>
    </x:row>
    <x:row r="55" ht="15" hidden="0" customHeight="1">
      <x:c r="A55" s="92" t="n">
        <x:v>146.5</x:v>
      </x:c>
      <x:c r="B55" s="92" t="n">
        <x:f>SQRT('拟合与方案'!$B$7^2+('拟合与方案'!$C$7*(A55-'拟合与方案'!$D$7))^2)</x:f>
        <x:v>3602.7450632063897</x:v>
      </x:c>
      <x:c r="C55" s="92" t="n">
        <x:f>SQRT('拟合与方案'!$B$8^2+('拟合与方案'!$C$8*(A55-'拟合与方案'!$D$8))^2)</x:f>
        <x:v>3887.0069690147216</x:v>
      </x:c>
      <x:c r="D55" s="92" t="n">
        <x:f>MAX(B55,C55)/MIN(B55,C55)</x:f>
        <x:v>1.0789014767410001</x:v>
      </x:c>
      <x:c r="E55" s="92" t="str">
        <x:f>IF(A55&lt;'拟合与方案'!$C$13,"",SQRT('拟合与方案'!$F$13^2+('拟合与方案'!$G$13*(A55-'拟合与方案'!$H$13))^2))</x:f>
      </x:c>
      <x:c r="F55" s="92" t="n">
        <x:f>C55</x:f>
        <x:v>3887.0069690147216</x:v>
      </x:c>
      <x:c r="G55" s="92" t="str">
        <x:f>IF(E55="","",MAX(E55,F55)/MIN(E55,F55))</x:f>
      </x:c>
      <x:c r="H55" s="92" t="str">
        <x:f>IF(A55&lt;'拟合与方案'!$C$15,"",SQRT('拟合与方案'!$F$15^2+('拟合与方案'!$G$15*(A55-'拟合与方案'!$H$15))^2))</x:f>
      </x:c>
      <x:c r="I55" s="92" t="n">
        <x:f>C55</x:f>
        <x:v>3887.0069690147216</x:v>
      </x:c>
      <x:c r="J55" s="92" t="str">
        <x:f>IF(H55="","",MAX(H55,I55)/MIN(H55,I55))</x:f>
      </x:c>
    </x:row>
    <x:row r="56" ht="15" hidden="0" customHeight="1">
      <x:c r="A56" s="92" t="n">
        <x:v>147</x:v>
      </x:c>
      <x:c r="B56" s="92" t="n">
        <x:f>SQRT('拟合与方案'!$B$7^2+('拟合与方案'!$C$7*(A56-'拟合与方案'!$D$7))^2)</x:f>
        <x:v>3583.625100722187</x:v>
      </x:c>
      <x:c r="C56" s="92" t="n">
        <x:f>SQRT('拟合与方案'!$B$8^2+('拟合与方案'!$C$8*(A56-'拟合与方案'!$D$8))^2)</x:f>
        <x:v>3865.5111957823706</x:v>
      </x:c>
      <x:c r="D56" s="92" t="n">
        <x:f>MAX(B56,C56)/MIN(B56,C56)</x:f>
        <x:v>1.0786594822665396</x:v>
      </x:c>
      <x:c r="E56" s="92" t="str">
        <x:f>IF(A56&lt;'拟合与方案'!$C$13,"",SQRT('拟合与方案'!$F$13^2+('拟合与方案'!$G$13*(A56-'拟合与方案'!$H$13))^2))</x:f>
      </x:c>
      <x:c r="F56" s="92" t="n">
        <x:f>C56</x:f>
        <x:v>3865.5111957823706</x:v>
      </x:c>
      <x:c r="G56" s="92" t="str">
        <x:f>IF(E56="","",MAX(E56,F56)/MIN(E56,F56))</x:f>
      </x:c>
      <x:c r="H56" s="92" t="str">
        <x:f>IF(A56&lt;'拟合与方案'!$C$15,"",SQRT('拟合与方案'!$F$15^2+('拟合与方案'!$G$15*(A56-'拟合与方案'!$H$15))^2))</x:f>
      </x:c>
      <x:c r="I56" s="92" t="n">
        <x:f>C56</x:f>
        <x:v>3865.5111957823706</x:v>
      </x:c>
      <x:c r="J56" s="92" t="str">
        <x:f>IF(H56="","",MAX(H56,I56)/MIN(H56,I56))</x:f>
      </x:c>
    </x:row>
    <x:row r="57" ht="15" hidden="0" customHeight="1">
      <x:c r="A57" s="92" t="n">
        <x:v>147.5</x:v>
      </x:c>
      <x:c r="B57" s="92" t="n">
        <x:f>SQRT('拟合与方案'!$B$7^2+('拟合与方案'!$C$7*(A57-'拟合与方案'!$D$7))^2)</x:f>
        <x:v>3564.5118607526997</x:v>
      </x:c>
      <x:c r="C57" s="92" t="n">
        <x:f>SQRT('拟合与方案'!$B$8^2+('拟合与方案'!$C$8*(A57-'拟合与方案'!$D$8))^2)</x:f>
        <x:v>3844.017582611092</x:v>
      </x:c>
      <x:c r="D57" s="92" t="n">
        <x:f>MAX(B57,C57)/MIN(B57,C57)</x:f>
        <x:v>1.07841346382822</x:v>
      </x:c>
      <x:c r="E57" s="92" t="str">
        <x:f>IF(A57&lt;'拟合与方案'!$C$13,"",SQRT('拟合与方案'!$F$13^2+('拟合与方案'!$G$13*(A57-'拟合与方案'!$H$13))^2))</x:f>
      </x:c>
      <x:c r="F57" s="92" t="n">
        <x:f>C57</x:f>
        <x:v>3844.017582611092</x:v>
      </x:c>
      <x:c r="G57" s="92" t="str">
        <x:f>IF(E57="","",MAX(E57,F57)/MIN(E57,F57))</x:f>
      </x:c>
      <x:c r="H57" s="92" t="str">
        <x:f>IF(A57&lt;'拟合与方案'!$C$15,"",SQRT('拟合与方案'!$F$15^2+('拟合与方案'!$G$15*(A57-'拟合与方案'!$H$15))^2))</x:f>
      </x:c>
      <x:c r="I57" s="92" t="n">
        <x:f>C57</x:f>
        <x:v>3844.017582611092</x:v>
      </x:c>
      <x:c r="J57" s="92" t="str">
        <x:f>IF(H57="","",MAX(H57,I57)/MIN(H57,I57))</x:f>
      </x:c>
    </x:row>
    <x:row r="58" ht="15" hidden="0" customHeight="1">
      <x:c r="A58" s="92" t="n">
        <x:v>148</x:v>
      </x:c>
      <x:c r="B58" s="92" t="n">
        <x:f>SQRT('拟合与方案'!$B$7^2+('拟合与方案'!$C$7*(A58-'拟合与方案'!$D$7))^2)</x:f>
        <x:v>3545.4054520209274</x:v>
      </x:c>
      <x:c r="C58" s="92" t="n">
        <x:f>SQRT('拟合与方案'!$B$8^2+('拟合与方案'!$C$8*(A58-'拟合与方案'!$D$8))^2)</x:f>
        <x:v>3822.526165938191</x:v>
      </x:c>
      <x:c r="D58" s="92" t="n">
        <x:f>MAX(B58,C58)/MIN(B58,C58)</x:f>
        <x:v>1.0781633349605475</x:v>
      </x:c>
      <x:c r="E58" s="92" t="str">
        <x:f>IF(A58&lt;'拟合与方案'!$C$13,"",SQRT('拟合与方案'!$F$13^2+('拟合与方案'!$G$13*(A58-'拟合与方案'!$H$13))^2))</x:f>
      </x:c>
      <x:c r="F58" s="92" t="n">
        <x:f>C58</x:f>
        <x:v>3822.526165938191</x:v>
      </x:c>
      <x:c r="G58" s="92" t="str">
        <x:f>IF(E58="","",MAX(E58,F58)/MIN(E58,F58))</x:f>
      </x:c>
      <x:c r="H58" s="92" t="str">
        <x:f>IF(A58&lt;'拟合与方案'!$C$15,"",SQRT('拟合与方案'!$F$15^2+('拟合与方案'!$G$15*(A58-'拟合与方案'!$H$15))^2))</x:f>
      </x:c>
      <x:c r="I58" s="92" t="n">
        <x:f>C58</x:f>
        <x:v>3822.526165938191</x:v>
      </x:c>
      <x:c r="J58" s="92" t="str">
        <x:f>IF(H58="","",MAX(H58,I58)/MIN(H58,I58))</x:f>
      </x:c>
    </x:row>
    <x:row r="59" ht="15" hidden="0" customHeight="1">
      <x:c r="A59" s="92" t="n">
        <x:v>148.5</x:v>
      </x:c>
      <x:c r="B59" s="92" t="n">
        <x:f>SQRT('拟合与方案'!$B$7^2+('拟合与方案'!$C$7*(A59-'拟合与方案'!$D$7))^2)</x:f>
        <x:v>3526.3059855669408</x:v>
      </x:c>
      <x:c r="C59" s="92" t="n">
        <x:f>SQRT('拟合与方案'!$B$8^2+('拟合与方案'!$C$8*(A59-'拟合与方案'!$D$8))^2)</x:f>
        <x:v>3801.036983021287</x:v>
      </x:c>
      <x:c r="D59" s="92" t="n">
        <x:f>MAX(B59,C59)/MIN(B59,C59)</x:f>
        <x:v>1.0779090069264583</x:v>
      </x:c>
      <x:c r="E59" s="92" t="str">
        <x:f>IF(A59&lt;'拟合与方案'!$C$13,"",SQRT('拟合与方案'!$F$13^2+('拟合与方案'!$G$13*(A59-'拟合与方案'!$H$13))^2))</x:f>
      </x:c>
      <x:c r="F59" s="92" t="n">
        <x:f>C59</x:f>
        <x:v>3801.036983021287</x:v>
      </x:c>
      <x:c r="G59" s="92" t="str">
        <x:f>IF(E59="","",MAX(E59,F59)/MIN(E59,F59))</x:f>
      </x:c>
      <x:c r="H59" s="92" t="str">
        <x:f>IF(A59&lt;'拟合与方案'!$C$15,"",SQRT('拟合与方案'!$F$15^2+('拟合与方案'!$G$15*(A59-'拟合与方案'!$H$15))^2))</x:f>
      </x:c>
      <x:c r="I59" s="92" t="n">
        <x:f>C59</x:f>
        <x:v>3801.036983021287</x:v>
      </x:c>
      <x:c r="J59" s="92" t="str">
        <x:f>IF(H59="","",MAX(H59,I59)/MIN(H59,I59))</x:f>
      </x:c>
    </x:row>
    <x:row r="60" ht="15" hidden="0" customHeight="1">
      <x:c r="A60" s="92" t="n">
        <x:v>149</x:v>
      </x:c>
      <x:c r="B60" s="92" t="n">
        <x:f>SQRT('拟合与方案'!$B$7^2+('拟合与方案'!$C$7*(A60-'拟合与方案'!$D$7))^2)</x:f>
        <x:v>3507.213574808814</x:v>
      </x:c>
      <x:c r="C60" s="92" t="n">
        <x:f>SQRT('拟合与方案'!$B$8^2+('拟合与方案'!$C$8*(A60-'拟合与方案'!$D$8))^2)</x:f>
        <x:v>3779.550071961415</x:v>
      </x:c>
      <x:c r="D60" s="92" t="n">
        <x:f>MAX(B60,C60)/MIN(B60,C60)</x:f>
        <x:v>1.0776503886471889</x:v>
      </x:c>
      <x:c r="E60" s="92" t="str">
        <x:f>IF(A60&lt;'拟合与方案'!$C$13,"",SQRT('拟合与方案'!$F$13^2+('拟合与方案'!$G$13*(A60-'拟合与方案'!$H$13))^2))</x:f>
      </x:c>
      <x:c r="F60" s="92" t="n">
        <x:f>C60</x:f>
        <x:v>3779.550071961415</x:v>
      </x:c>
      <x:c r="G60" s="92" t="str">
        <x:f>IF(E60="","",MAX(E60,F60)/MIN(E60,F60))</x:f>
      </x:c>
      <x:c r="H60" s="92" t="str">
        <x:f>IF(A60&lt;'拟合与方案'!$C$15,"",SQRT('拟合与方案'!$F$15^2+('拟合与方案'!$G$15*(A60-'拟合与方案'!$H$15))^2))</x:f>
      </x:c>
      <x:c r="I60" s="92" t="n">
        <x:f>C60</x:f>
        <x:v>3779.550071961415</x:v>
      </x:c>
      <x:c r="J60" s="92" t="str">
        <x:f>IF(H60="","",MAX(H60,I60)/MIN(H60,I60))</x:f>
      </x:c>
    </x:row>
    <x:row r="61" ht="15" hidden="0" customHeight="1">
      <x:c r="A61" s="92" t="n">
        <x:v>149.5</x:v>
      </x:c>
      <x:c r="B61" s="92" t="n">
        <x:f>SQRT('拟合与方案'!$B$7^2+('拟合与方案'!$C$7*(A61-'拟合与方案'!$D$7))^2)</x:f>
        <x:v>3488.128335605455</x:v>
      </x:c>
      <x:c r="C61" s="92" t="n">
        <x:f>SQRT('拟合与方案'!$B$8^2+('拟合与方案'!$C$8*(A61-'拟合与方案'!$D$8))^2)</x:f>
        <x:v>3758.0654717269163</x:v>
      </x:c>
      <x:c r="D61" s="92" t="n">
        <x:f>MAX(B61,C61)/MIN(B61,C61)</x:f>
        <x:v>1.0773873866296857</x:v>
      </x:c>
      <x:c r="E61" s="92" t="str">
        <x:f>IF(A61&lt;'拟合与方案'!$C$13,"",SQRT('拟合与方案'!$F$13^2+('拟合与方案'!$G$13*(A61-'拟合与方案'!$H$13))^2))</x:f>
      </x:c>
      <x:c r="F61" s="92" t="n">
        <x:f>C61</x:f>
        <x:v>3758.0654717269163</x:v>
      </x:c>
      <x:c r="G61" s="92" t="str">
        <x:f>IF(E61="","",MAX(E61,F61)/MIN(E61,F61))</x:f>
      </x:c>
      <x:c r="H61" s="92" t="str">
        <x:f>IF(A61&lt;'拟合与方案'!$C$15,"",SQRT('拟合与方案'!$F$15^2+('拟合与方案'!$G$15*(A61-'拟合与方案'!$H$15))^2))</x:f>
      </x:c>
      <x:c r="I61" s="92" t="n">
        <x:f>C61</x:f>
        <x:v>3758.0654717269163</x:v>
      </x:c>
      <x:c r="J61" s="92" t="str">
        <x:f>IF(H61="","",MAX(H61,I61)/MIN(H61,I61))</x:f>
      </x:c>
    </x:row>
    <x:row r="62" ht="15" hidden="0" customHeight="1">
      <x:c r="A62" s="92" t="n">
        <x:v>150</x:v>
      </x:c>
      <x:c r="B62" s="92" t="n">
        <x:f>SQRT('拟合与方案'!$B$7^2+('拟合与方案'!$C$7*(A62-'拟合与方案'!$D$7))^2)</x:f>
        <x:v>3469.050386321395</x:v>
      </x:c>
      <x:c r="C62" s="92" t="n">
        <x:f>SQRT('拟合与方案'!$B$8^2+('拟合与方案'!$C$8*(A62-'拟合与方案'!$D$8))^2)</x:f>
        <x:v>3736.583222178129</x:v>
      </x:c>
      <x:c r="D62" s="92" t="n">
        <x:f>MAX(B62,C62)/MIN(B62,C62)</x:f>
        <x:v>1.0771199048914444</x:v>
      </x:c>
      <x:c r="E62" s="92" t="str">
        <x:f>IF(A62&lt;'拟合与方案'!$C$13,"",SQRT('拟合与方案'!$F$13^2+('拟合与方案'!$G$13*(A62-'拟合与方案'!$H$13))^2))</x:f>
      </x:c>
      <x:c r="F62" s="92" t="n">
        <x:f>C62</x:f>
        <x:v>3736.583222178129</x:v>
      </x:c>
      <x:c r="G62" s="92" t="str">
        <x:f>IF(E62="","",MAX(E62,F62)/MIN(E62,F62))</x:f>
      </x:c>
      <x:c r="H62" s="92" t="str">
        <x:f>IF(A62&lt;'拟合与方案'!$C$15,"",SQRT('拟合与方案'!$F$15^2+('拟合与方案'!$G$15*(A62-'拟合与方案'!$H$15))^2))</x:f>
      </x:c>
      <x:c r="I62" s="92" t="n">
        <x:f>C62</x:f>
        <x:v>3736.583222178129</x:v>
      </x:c>
      <x:c r="J62" s="92" t="str">
        <x:f>IF(H62="","",MAX(H62,I62)/MIN(H62,I62))</x:f>
      </x:c>
    </x:row>
    <x:row r="63" ht="15" hidden="0" customHeight="1">
      <x:c r="A63" s="92" t="n">
        <x:v>150.5</x:v>
      </x:c>
      <x:c r="B63" s="92" t="n">
        <x:f>SQRT('拟合与方案'!$B$7^2+('拟合与方案'!$C$7*(A63-'拟合与方案'!$D$7))^2)</x:f>
        <x:v>3449.9798478936113</x:v>
      </x:c>
      <x:c r="C63" s="92" t="n">
        <x:f>SQRT('拟合与方案'!$B$8^2+('拟合与方案'!$C$8*(A63-'拟合与方案'!$D$8))^2)</x:f>
        <x:v>3715.103364092938</x:v>
      </x:c>
      <x:c r="D63" s="92" t="n">
        <x:f>MAX(B63,C63)/MIN(B63,C63)</x:f>
        <x:v>1.0768478448826877</x:v>
      </x:c>
      <x:c r="E63" s="92" t="str">
        <x:f>IF(A63&lt;'拟合与方案'!$C$13,"",SQRT('拟合与方案'!$F$13^2+('拟合与方案'!$G$13*(A63-'拟合与方案'!$H$13))^2))</x:f>
      </x:c>
      <x:c r="F63" s="92" t="n">
        <x:f>C63</x:f>
        <x:v>3715.103364092938</x:v>
      </x:c>
      <x:c r="G63" s="92" t="str">
        <x:f>IF(E63="","",MAX(E63,F63)/MIN(E63,F63))</x:f>
      </x:c>
      <x:c r="H63" s="92" t="str">
        <x:f>IF(A63&lt;'拟合与方案'!$C$15,"",SQRT('拟合与方案'!$F$15^2+('拟合与方案'!$G$15*(A63-'拟合与方案'!$H$15))^2))</x:f>
      </x:c>
      <x:c r="I63" s="92" t="n">
        <x:f>C63</x:f>
        <x:v>3715.103364092938</x:v>
      </x:c>
      <x:c r="J63" s="92" t="str">
        <x:f>IF(H63="","",MAX(H63,I63)/MIN(H63,I63))</x:f>
      </x:c>
    </x:row>
    <x:row r="64" ht="15" hidden="0" customHeight="1">
      <x:c r="A64" s="92" t="n">
        <x:v>151</x:v>
      </x:c>
      <x:c r="B64" s="92" t="n">
        <x:f>SQRT('拟合与方案'!$B$7^2+('拟合与方案'!$C$7*(A64-'拟合与方案'!$D$7))^2)</x:f>
        <x:v>3430.9168439004616</x:v>
      </x:c>
      <x:c r="C64" s="92" t="n">
        <x:f>SQRT('拟合与方案'!$B$8^2+('拟合与方案'!$C$8*(A64-'拟合与方案'!$D$8))^2)</x:f>
        <x:v>3693.6259391931894</x:v>
      </x:c>
      <x:c r="D64" s="92" t="n">
        <x:f>MAX(B64,C64)/MIN(B64,C64)</x:f>
        <x:v>1.0765711054057683</x:v>
      </x:c>
      <x:c r="E64" s="92" t="str">
        <x:f>IF(A64&lt;'拟合与方案'!$C$13,"",SQRT('拟合与方案'!$F$13^2+('拟合与方案'!$G$13*(A64-'拟合与方案'!$H$13))^2))</x:f>
      </x:c>
      <x:c r="F64" s="92" t="n">
        <x:f>C64</x:f>
        <x:v>3693.6259391931894</x:v>
      </x:c>
      <x:c r="G64" s="92" t="str">
        <x:f>IF(E64="","",MAX(E64,F64)/MIN(E64,F64))</x:f>
      </x:c>
      <x:c r="H64" s="92" t="str">
        <x:f>IF(A64&lt;'拟合与方案'!$C$15,"",SQRT('拟合与方案'!$F$15^2+('拟合与方案'!$G$15*(A64-'拟合与方案'!$H$15))^2))</x:f>
      </x:c>
      <x:c r="I64" s="92" t="n">
        <x:f>C64</x:f>
        <x:v>3693.6259391931894</x:v>
      </x:c>
      <x:c r="J64" s="92" t="str">
        <x:f>IF(H64="","",MAX(H64,I64)/MIN(H64,I64))</x:f>
      </x:c>
    </x:row>
    <x:row r="65" ht="15" hidden="0" customHeight="1">
      <x:c r="A65" s="92" t="n">
        <x:v>151.5</x:v>
      </x:c>
      <x:c r="B65" s="92" t="n">
        <x:f>SQRT('拟合与方案'!$B$7^2+('拟合与方案'!$C$7*(A65-'拟合与方案'!$D$7))^2)</x:f>
        <x:v>3411.8615006327936</x:v>
      </x:c>
      <x:c r="C65" s="92" t="n">
        <x:f>SQRT('拟合与方案'!$B$8^2+('拟合与方案'!$C$8*(A65-'拟合与方案'!$D$8))^2)</x:f>
        <x:v>3672.150990172029</x:v>
      </x:c>
      <x:c r="D65" s="92" t="n">
        <x:f>MAX(B65,C65)/MIN(B65,C65)</x:f>
        <x:v>1.0762895825316943</x:v>
      </x:c>
      <x:c r="E65" s="92" t="str">
        <x:f>IF(A65&lt;'拟合与方案'!$C$13,"",SQRT('拟合与方案'!$F$13^2+('拟合与方案'!$G$13*(A65-'拟合与方案'!$H$13))^2))</x:f>
      </x:c>
      <x:c r="F65" s="92" t="n">
        <x:f>C65</x:f>
        <x:v>3672.150990172029</x:v>
      </x:c>
      <x:c r="G65" s="92" t="str">
        <x:f>IF(E65="","",MAX(E65,F65)/MIN(E65,F65))</x:f>
      </x:c>
      <x:c r="H65" s="92" t="str">
        <x:f>IF(A65&lt;'拟合与方案'!$C$15,"",SQRT('拟合与方案'!$F$15^2+('拟合与方案'!$G$15*(A65-'拟合与方案'!$H$15))^2))</x:f>
      </x:c>
      <x:c r="I65" s="92" t="n">
        <x:f>C65</x:f>
        <x:v>3672.150990172029</x:v>
      </x:c>
      <x:c r="J65" s="92" t="str">
        <x:f>IF(H65="","",MAX(H65,I65)/MIN(H65,I65))</x:f>
      </x:c>
    </x:row>
    <x:row r="66" ht="15" hidden="0" customHeight="1">
      <x:c r="A66" s="92" t="n">
        <x:v>152</x:v>
      </x:c>
      <x:c r="B66" s="92" t="n">
        <x:f>SQRT('拟合与方案'!$B$7^2+('拟合与方案'!$C$7*(A66-'拟合与方案'!$D$7))^2)</x:f>
        <x:v>3392.8139471673194</x:v>
      </x:c>
      <x:c r="C66" s="92" t="n">
        <x:f>SQRT('拟合与方案'!$B$8^2+('拟合与方案'!$C$8*(A66-'拟合与方案'!$D$8))^2)</x:f>
        <x:v>3650.678560722183</x:v>
      </x:c>
      <x:c r="D66" s="92" t="n">
        <x:f>MAX(B66,C66)/MIN(B66,C66)</x:f>
        <x:v>1.076003169513659</x:v>
      </x:c>
      <x:c r="E66" s="92" t="str">
        <x:f>IF(A66&lt;'拟合与方案'!$C$13,"",SQRT('拟合与方案'!$F$13^2+('拟合与方案'!$G$13*(A66-'拟合与方案'!$H$13))^2))</x:f>
      </x:c>
      <x:c r="F66" s="92" t="n">
        <x:f>C66</x:f>
        <x:v>3650.678560722183</x:v>
      </x:c>
      <x:c r="G66" s="92" t="str">
        <x:f>IF(E66="","",MAX(E66,F66)/MIN(E66,F66))</x:f>
      </x:c>
      <x:c r="H66" s="92" t="str">
        <x:f>IF(A66&lt;'拟合与方案'!$C$15,"",SQRT('拟合与方案'!$F$15^2+('拟合与方案'!$G$15*(A66-'拟合与方案'!$H$15))^2))</x:f>
      </x:c>
      <x:c r="I66" s="92" t="n">
        <x:f>C66</x:f>
        <x:v>3650.678560722183</x:v>
      </x:c>
      <x:c r="J66" s="92" t="str">
        <x:f>IF(H66="","",MAX(H66,I66)/MIN(H66,I66))</x:f>
      </x:c>
    </x:row>
    <x:row r="67" ht="15" hidden="0" customHeight="1">
      <x:c r="A67" s="92" t="n">
        <x:v>152.5</x:v>
      </x:c>
      <x:c r="B67" s="92" t="n">
        <x:f>SQRT('拟合与方案'!$B$7^2+('拟合与方案'!$C$7*(A67-'拟合与方案'!$D$7))^2)</x:f>
        <x:v>3373.7743154423333</x:v>
      </x:c>
      <x:c r="C67" s="92" t="n">
        <x:f>SQRT('拟合与方案'!$B$8^2+('拟合与方案'!$C$8*(A67-'拟合与方案'!$D$8))^2)</x:f>
        <x:v>3629.2086955652335</x:v>
      </x:c>
      <x:c r="D67" s="92" t="n">
        <x:f>MAX(B67,C67)/MIN(B67,C67)</x:f>
        <x:v>1.0757117566974572</x:v>
      </x:c>
      <x:c r="E67" s="92" t="str">
        <x:f>IF(A67&lt;'拟合与方案'!$C$13,"",SQRT('拟合与方案'!$F$13^2+('拟合与方案'!$G$13*(A67-'拟合与方案'!$H$13))^2))</x:f>
      </x:c>
      <x:c r="F67" s="92" t="n">
        <x:f>C67</x:f>
        <x:v>3629.2086955652335</x:v>
      </x:c>
      <x:c r="G67" s="92" t="str">
        <x:f>IF(E67="","",MAX(E67,F67)/MIN(E67,F67))</x:f>
      </x:c>
      <x:c r="H67" s="92" t="str">
        <x:f>IF(A67&lt;'拟合与方案'!$C$15,"",SQRT('拟合与方案'!$F$15^2+('拟合与方案'!$G$15*(A67-'拟合与方案'!$H$15))^2))</x:f>
      </x:c>
      <x:c r="I67" s="92" t="n">
        <x:f>C67</x:f>
        <x:v>3629.2086955652335</x:v>
      </x:c>
      <x:c r="J67" s="92" t="str">
        <x:f>IF(H67="","",MAX(H67,I67)/MIN(H67,I67))</x:f>
      </x:c>
    </x:row>
    <x:row r="68" ht="15" hidden="0" customHeight="1">
      <x:c r="A68" s="92" t="n">
        <x:v>153</x:v>
      </x:c>
      <x:c r="B68" s="92" t="n">
        <x:f>SQRT('拟合与方案'!$B$7^2+('拟合与方案'!$C$7*(A68-'拟合与方案'!$D$7))^2)</x:f>
        <x:v>3354.7427403358606</x:v>
      </x:c>
      <x:c r="C68" s="92" t="n">
        <x:f>SQRT('拟合与方案'!$B$8^2+('拟合与方案'!$C$8*(A68-'拟合与方案'!$D$8))^2)</x:f>
        <x:v>3607.7414404819183</x:v>
      </x:c>
      <x:c r="D68" s="92" t="n">
        <x:f>MAX(B68,C68)/MIN(B68,C68)</x:f>
        <x:v>1.0754152314286636</x:v>
      </x:c>
      <x:c r="E68" s="92" t="str">
        <x:f>IF(A68&lt;'拟合与方案'!$C$13,"",SQRT('拟合与方案'!$F$13^2+('拟合与方案'!$G$13*(A68-'拟合与方案'!$H$13))^2))</x:f>
      </x:c>
      <x:c r="F68" s="92" t="n">
        <x:f>C68</x:f>
        <x:v>3607.7414404819183</x:v>
      </x:c>
      <x:c r="G68" s="92" t="str">
        <x:f>IF(E68="","",MAX(E68,F68)/MIN(E68,F68))</x:f>
      </x:c>
      <x:c r="H68" s="92" t="str">
        <x:f>IF(A68&lt;'拟合与方案'!$C$15,"",SQRT('拟合与方案'!$F$15^2+('拟合与方案'!$G$15*(A68-'拟合与方案'!$H$15))^2))</x:f>
      </x:c>
      <x:c r="I68" s="92" t="n">
        <x:f>C68</x:f>
        <x:v>3607.7414404819183</x:v>
      </x:c>
      <x:c r="J68" s="92" t="str">
        <x:f>IF(H68="","",MAX(H68,I68)/MIN(H68,I68))</x:f>
      </x:c>
    </x:row>
    <x:row r="69" ht="15" hidden="0" customHeight="1">
      <x:c r="A69" s="92" t="n">
        <x:v>153.5</x:v>
      </x:c>
      <x:c r="B69" s="92" t="n">
        <x:f>SQRT('拟合与方案'!$B$7^2+('拟合与方案'!$C$7*(A69-'拟合与方案'!$D$7))^2)</x:f>
        <x:v>3335.719359746321</x:v>
      </x:c>
      <x:c r="C69" s="92" t="n">
        <x:f>SQRT('拟合与方案'!$B$8^2+('拟合与方案'!$C$8*(A69-'拟合与方案'!$D$8))^2)</x:f>
        <x:v>3586.2768423435086</x:v>
      </x:c>
      <x:c r="D69" s="92" t="n">
        <x:f>MAX(B69,C69)/MIN(B69,C69)</x:f>
        <x:v>1.0751134779564437</x:v>
      </x:c>
      <x:c r="E69" s="92" t="str">
        <x:f>IF(A69&lt;'拟合与方案'!$C$13,"",SQRT('拟合与方案'!$F$13^2+('拟合与方案'!$G$13*(A69-'拟合与方案'!$H$13))^2))</x:f>
      </x:c>
      <x:c r="F69" s="92" t="n">
        <x:f>C69</x:f>
        <x:v>3586.2768423435086</x:v>
      </x:c>
      <x:c r="G69" s="92" t="str">
        <x:f>IF(E69="","",MAX(E69,F69)/MIN(E69,F69))</x:f>
      </x:c>
      <x:c r="H69" s="92" t="str">
        <x:f>IF(A69&lt;'拟合与方案'!$C$15,"",SQRT('拟合与方案'!$F$15^2+('拟合与方案'!$G$15*(A69-'拟合与方案'!$H$15))^2))</x:f>
      </x:c>
      <x:c r="I69" s="92" t="n">
        <x:f>C69</x:f>
        <x:v>3586.2768423435086</x:v>
      </x:c>
      <x:c r="J69" s="92" t="str">
        <x:f>IF(H69="","",MAX(H69,I69)/MIN(H69,I69))</x:f>
      </x:c>
    </x:row>
    <x:row r="70" ht="15" hidden="0" customHeight="1">
      <x:c r="A70" s="92" t="n">
        <x:v>154</x:v>
      </x:c>
      <x:c r="B70" s="92" t="n">
        <x:f>SQRT('拟合与方案'!$B$7^2+('拟合与方案'!$C$7*(A70-'拟合与方案'!$D$7))^2)</x:f>
        <x:v>3316.7043146758083</x:v>
      </x:c>
      <x:c r="C70" s="92" t="n">
        <x:f>SQRT('拟合与方案'!$B$8^2+('拟合与方案'!$C$8*(A70-'拟合与方案'!$D$8))^2)</x:f>
        <x:v>3564.814949144294</x:v>
      </x:c>
      <x:c r="D70" s="92" t="n">
        <x:f>MAX(B70,C70)/MIN(B70,C70)</x:f>
        <x:v>1.0748063773338616</x:v>
      </x:c>
      <x:c r="E70" s="92" t="str">
        <x:f>IF(A70&lt;'拟合与方案'!$C$13,"",SQRT('拟合与方案'!$F$13^2+('拟合与方案'!$G$13*(A70-'拟合与方案'!$H$13))^2))</x:f>
      </x:c>
      <x:c r="F70" s="92" t="n">
        <x:f>C70</x:f>
        <x:v>3564.814949144294</x:v>
      </x:c>
      <x:c r="G70" s="92" t="str">
        <x:f>IF(E70="","",MAX(E70,F70)/MIN(E70,F70))</x:f>
      </x:c>
      <x:c r="H70" s="92" t="str">
        <x:f>IF(A70&lt;'拟合与方案'!$C$15,"",SQRT('拟合与方案'!$F$15^2+('拟合与方案'!$G$15*(A70-'拟合与方案'!$H$15))^2))</x:f>
      </x:c>
      <x:c r="I70" s="92" t="n">
        <x:f>C70</x:f>
        <x:v>3564.814949144294</x:v>
      </x:c>
      <x:c r="J70" s="92" t="str">
        <x:f>IF(H70="","",MAX(H70,I70)/MIN(H70,I70))</x:f>
      </x:c>
    </x:row>
    <x:row r="71" ht="15" hidden="0" customHeight="1">
      <x:c r="A71" s="92" t="n">
        <x:v>154.5</x:v>
      </x:c>
      <x:c r="B71" s="92" t="n">
        <x:f>SQRT('拟合与方案'!$B$7^2+('拟合与方案'!$C$7*(A71-'拟合与方案'!$D$7))^2)</x:f>
        <x:v>3297.6977493160766</x:v>
      </x:c>
      <x:c r="C71" s="92" t="n">
        <x:f>SQRT('拟合与方案'!$B$8^2+('拟合与方案'!$C$8*(A71-'拟合与方案'!$D$8))^2)</x:f>
        <x:v>3543.3558100352384</x:v>
      </x:c>
      <x:c r="D71" s="92" t="n">
        <x:f>MAX(B71,C71)/MIN(B71,C71)</x:f>
        <x:v>1.0744938073145454</x:v>
      </x:c>
      <x:c r="E71" s="92" t="str">
        <x:f>IF(A71&lt;'拟合与方案'!$C$13,"",SQRT('拟合与方案'!$F$13^2+('拟合与方案'!$G$13*(A71-'拟合与方案'!$H$13))^2))</x:f>
      </x:c>
      <x:c r="F71" s="92" t="n">
        <x:f>C71</x:f>
        <x:v>3543.3558100352384</x:v>
      </x:c>
      <x:c r="G71" s="92" t="str">
        <x:f>IF(E71="","",MAX(E71,F71)/MIN(E71,F71))</x:f>
      </x:c>
      <x:c r="H71" s="92" t="str">
        <x:f>IF(A71&lt;'拟合与方案'!$C$15,"",SQRT('拟合与方案'!$F$15^2+('拟合与方案'!$G$15*(A71-'拟合与方案'!$H$15))^2))</x:f>
      </x:c>
      <x:c r="I71" s="92" t="n">
        <x:f>C71</x:f>
        <x:v>3543.3558100352384</x:v>
      </x:c>
      <x:c r="J71" s="92" t="str">
        <x:f>IF(H71="","",MAX(H71,I71)/MIN(H71,I71))</x:f>
      </x:c>
    </x:row>
    <x:row r="72" ht="15" hidden="0" customHeight="1">
      <x:c r="A72" s="92" t="n">
        <x:v>155</x:v>
      </x:c>
      <x:c r="B72" s="92" t="n">
        <x:f>SQRT('拟合与方案'!$B$7^2+('拟合与方案'!$C$7*(A72-'拟合与方案'!$D$7))^2)</x:f>
        <x:v>3278.6998111373327</x:v>
      </x:c>
      <x:c r="C72" s="92" t="n">
        <x:f>SQRT('拟合与方案'!$B$8^2+('拟合与方案'!$C$8*(A72-'拟合与方案'!$D$8))^2)</x:f>
        <x:v>3521.8994753588386</x:v>
      </x:c>
      <x:c r="D72" s="92" t="n">
        <x:f>MAX(B72,C72)/MIN(B72,C72)</x:f>
        <x:v>1.0741756422455593</x:v>
      </x:c>
      <x:c r="E72" s="92" t="str">
        <x:f>IF(A72&lt;'拟合与方案'!$C$13,"",SQRT('拟合与方案'!$F$13^2+('拟合与方案'!$G$13*(A72-'拟合与方案'!$H$13))^2))</x:f>
      </x:c>
      <x:c r="F72" s="92" t="n">
        <x:f>C72</x:f>
        <x:v>3521.8994753588386</x:v>
      </x:c>
      <x:c r="G72" s="92" t="str">
        <x:f>IF(E72="","",MAX(E72,F72)/MIN(E72,F72))</x:f>
      </x:c>
      <x:c r="H72" s="92" t="str">
        <x:f>IF(A72&lt;'拟合与方案'!$C$15,"",SQRT('拟合与方案'!$F$15^2+('拟合与方案'!$G$15*(A72-'拟合与方案'!$H$15))^2))</x:f>
      </x:c>
      <x:c r="I72" s="92" t="n">
        <x:f>C72</x:f>
        <x:v>3521.8994753588386</x:v>
      </x:c>
      <x:c r="J72" s="92" t="str">
        <x:f>IF(H72="","",MAX(H72,I72)/MIN(H72,I72))</x:f>
      </x:c>
    </x:row>
    <x:row r="73" ht="15" hidden="0" customHeight="1">
      <x:c r="A73" s="92" t="n">
        <x:v>155.5</x:v>
      </x:c>
      <x:c r="B73" s="92" t="n">
        <x:f>SQRT('拟合与方案'!$B$7^2+('拟合与方案'!$C$7*(A73-'拟合与方案'!$D$7))^2)</x:f>
        <x:v>3259.7106509799482</x:v>
      </x:c>
      <x:c r="C73" s="92" t="n">
        <x:f>SQRT('拟合与方案'!$B$8^2+('拟合与方案'!$C$8*(A73-'拟合与方案'!$D$8))^2)</x:f>
        <x:v>3500.4459966852473</x:v>
      </x:c>
      <x:c r="D73" s="92" t="n">
        <x:f>MAX(B73,C73)/MIN(B73,C73)</x:f>
        <x:v>1.0738517529563332</x:v>
      </x:c>
      <x:c r="E73" s="92" t="str">
        <x:f>IF(A73&lt;'拟合与方案'!$C$13,"",SQRT('拟合与方案'!$F$13^2+('拟合与方案'!$G$13*(A73-'拟合与方案'!$H$13))^2))</x:f>
      </x:c>
      <x:c r="F73" s="92" t="n">
        <x:f>C73</x:f>
        <x:v>3500.4459966852473</x:v>
      </x:c>
      <x:c r="G73" s="92" t="str">
        <x:f>IF(E73="","",MAX(E73,F73)/MIN(E73,F73))</x:f>
      </x:c>
      <x:c r="H73" s="92" t="str">
        <x:f>IF(A73&lt;'拟合与方案'!$C$15,"",SQRT('拟合与方案'!$F$15^2+('拟合与方案'!$G$15*(A73-'拟合与方案'!$H$15))^2))</x:f>
      </x:c>
      <x:c r="I73" s="92" t="n">
        <x:f>C73</x:f>
        <x:v>3500.4459966852473</x:v>
      </x:c>
      <x:c r="J73" s="92" t="str">
        <x:f>IF(H73="","",MAX(H73,I73)/MIN(H73,I73))</x:f>
      </x:c>
    </x:row>
    <x:row r="74" ht="15" hidden="0" customHeight="1">
      <x:c r="A74" s="92" t="n">
        <x:v>156</x:v>
      </x:c>
      <x:c r="B74" s="92" t="n">
        <x:f>SQRT('拟合与方案'!$B$7^2+('拟合与方案'!$C$7*(A74-'拟合与方案'!$D$7))^2)</x:f>
        <x:v>3240.73042314919</x:v>
      </x:c>
      <x:c r="C74" s="92" t="n">
        <x:f>SQRT('拟合与方案'!$B$8^2+('拟合与方案'!$C$8*(A74-'拟合与方案'!$D$8))^2)</x:f>
        <x:v>3478.995426849714</x:v>
      </x:c>
      <x:c r="D74" s="92" t="n">
        <x:f>MAX(B74,C74)/MIN(B74,C74)</x:f>
        <x:v>1.0735220066434867</x:v>
      </x:c>
      <x:c r="E74" s="92" t="str">
        <x:f>IF(A74&lt;'拟合与方案'!$C$13,"",SQRT('拟合与方案'!$F$13^2+('拟合与方案'!$G$13*(A74-'拟合与方案'!$H$13))^2))</x:f>
      </x:c>
      <x:c r="F74" s="92" t="n">
        <x:f>C74</x:f>
        <x:v>3478.995426849714</x:v>
      </x:c>
      <x:c r="G74" s="92" t="str">
        <x:f>IF(E74="","",MAX(E74,F74)/MIN(E74,F74))</x:f>
      </x:c>
      <x:c r="H74" s="92" t="str">
        <x:f>IF(A74&lt;'拟合与方案'!$C$15,"",SQRT('拟合与方案'!$F$15^2+('拟合与方案'!$G$15*(A74-'拟合与方案'!$H$15))^2))</x:f>
      </x:c>
      <x:c r="I74" s="92" t="n">
        <x:f>C74</x:f>
        <x:v>3478.995426849714</x:v>
      </x:c>
      <x:c r="J74" s="92" t="str">
        <x:f>IF(H74="","",MAX(H74,I74)/MIN(H74,I74))</x:f>
      </x:c>
    </x:row>
    <x:row r="75" ht="15" hidden="0" customHeight="1">
      <x:c r="A75" s="92" t="n">
        <x:v>156.5</x:v>
      </x:c>
      <x:c r="B75" s="92" t="n">
        <x:f>SQRT('拟合与方案'!$B$7^2+('拟合与方案'!$C$7*(A75-'拟合与方案'!$D$7))^2)</x:f>
        <x:v>3221.7592855130897</x:v>
      </x:c>
      <x:c r="C75" s="92" t="n">
        <x:f>SQRT('拟合与方案'!$B$8^2+('拟合与方案'!$C$8*(A75-'拟合与方案'!$D$8))^2)</x:f>
        <x:v>3457.5478199913887</x:v>
      </x:c>
      <x:c r="D75" s="92" t="n">
        <x:f>MAX(B75,C75)/MIN(B75,C75)</x:f>
        <x:v>1.0731862667513807</x:v>
      </x:c>
      <x:c r="E75" s="92" t="str">
        <x:f>IF(A75&lt;'拟合与方案'!$C$13,"",SQRT('拟合与方案'!$F$13^2+('拟合与方案'!$G$13*(A75-'拟合与方案'!$H$13))^2))</x:f>
      </x:c>
      <x:c r="F75" s="92" t="n">
        <x:f>C75</x:f>
        <x:v>3457.5478199913887</x:v>
      </x:c>
      <x:c r="G75" s="92" t="str">
        <x:f>IF(E75="","",MAX(E75,F75)/MIN(E75,F75))</x:f>
      </x:c>
      <x:c r="H75" s="92" t="str">
        <x:f>IF(A75&lt;'拟合与方案'!$C$15,"",SQRT('拟合与方案'!$F$15^2+('拟合与方案'!$G$15*(A75-'拟合与方案'!$H$15))^2))</x:f>
      </x:c>
      <x:c r="I75" s="92" t="n">
        <x:f>C75</x:f>
        <x:v>3457.5478199913887</x:v>
      </x:c>
      <x:c r="J75" s="92" t="str">
        <x:f>IF(H75="","",MAX(H75,I75)/MIN(H75,I75))</x:f>
      </x:c>
    </x:row>
    <x:row r="76" ht="15" hidden="0" customHeight="1">
      <x:c r="A76" s="92" t="n">
        <x:v>157</x:v>
      </x:c>
      <x:c r="B76" s="92" t="n">
        <x:f>SQRT('拟合与方案'!$B$7^2+('拟合与方案'!$C$7*(A76-'拟合与方案'!$D$7))^2)</x:f>
        <x:v>3202.797399603567</x:v>
      </x:c>
      <x:c r="C76" s="92" t="n">
        <x:f>SQRT('拟合与方案'!$B$8^2+('拟合与方案'!$C$8*(A76-'拟合与方案'!$D$8))^2)</x:f>
        <x:v>3436.103231593562</x:v>
      </x:c>
      <x:c r="D76" s="92" t="n">
        <x:f>MAX(B76,C76)/MIN(B76,C76)</x:f>
        <x:v>1.0728443928482247</x:v>
      </x:c>
      <x:c r="E76" s="92" t="str">
        <x:f>IF(A76&lt;'拟合与方案'!$C$13,"",SQRT('拟合与方案'!$F$13^2+('拟合与方案'!$G$13*(A76-'拟合与方案'!$H$13))^2))</x:f>
      </x:c>
      <x:c r="F76" s="92" t="n">
        <x:f>C76</x:f>
        <x:v>3436.103231593562</x:v>
      </x:c>
      <x:c r="G76" s="92" t="str">
        <x:f>IF(E76="","",MAX(E76,F76)/MIN(E76,F76))</x:f>
      </x:c>
      <x:c r="H76" s="92" t="str">
        <x:f>IF(A76&lt;'拟合与方案'!$C$15,"",SQRT('拟合与方案'!$F$15^2+('拟合与方案'!$G$15*(A76-'拟合与方案'!$H$15))^2))</x:f>
      </x:c>
      <x:c r="I76" s="92" t="n">
        <x:f>C76</x:f>
        <x:v>3436.103231593562</x:v>
      </x:c>
      <x:c r="J76" s="92" t="str">
        <x:f>IF(H76="","",MAX(H76,I76)/MIN(H76,I76))</x:f>
      </x:c>
    </x:row>
    <x:row r="77" ht="15" hidden="0" customHeight="1">
      <x:c r="A77" s="92" t="n">
        <x:v>157.5</x:v>
      </x:c>
      <x:c r="B77" s="92" t="n">
        <x:f>SQRT('拟合与方案'!$B$7^2+('拟合与方案'!$C$7*(A77-'拟合与方案'!$D$7))^2)</x:f>
        <x:v>3183.844930720936</x:v>
      </x:c>
      <x:c r="C77" s="92" t="n">
        <x:f>SQRT('拟合与方案'!$B$8^2+('拟合与方案'!$C$8*(A77-'拟合与方案'!$D$8))^2)</x:f>
        <x:v>3414.66171852539</x:v>
      </x:c>
      <x:c r="D77" s="92" t="n">
        <x:f>MAX(B77,C77)/MIN(B77,C77)</x:f>
        <x:v>1.072496240497551</x:v>
      </x:c>
      <x:c r="E77" s="92" t="str">
        <x:f>IF(A77&lt;'拟合与方案'!$C$13,"",SQRT('拟合与方案'!$F$13^2+('拟合与方案'!$G$13*(A77-'拟合与方案'!$H$13))^2))</x:f>
      </x:c>
      <x:c r="F77" s="92" t="n">
        <x:f>C77</x:f>
        <x:v>3414.66171852539</x:v>
      </x:c>
      <x:c r="G77" s="92" t="str">
        <x:f>IF(E77="","",MAX(E77,F77)/MIN(E77,F77))</x:f>
      </x:c>
      <x:c r="H77" s="92" t="str">
        <x:f>IF(A77&lt;'拟合与方案'!$C$15,"",SQRT('拟合与方案'!$F$15^2+('拟合与方案'!$G$15*(A77-'拟合与方案'!$H$15))^2))</x:f>
      </x:c>
      <x:c r="I77" s="92" t="n">
        <x:f>C77</x:f>
        <x:v>3414.66171852539</x:v>
      </x:c>
      <x:c r="J77" s="92" t="str">
        <x:f>IF(H77="","",MAX(H77,I77)/MIN(H77,I77))</x:f>
      </x:c>
    </x:row>
    <x:row r="78" ht="15" hidden="0" customHeight="1">
      <x:c r="A78" s="92" t="n">
        <x:v>158</x:v>
      </x:c>
      <x:c r="B78" s="92" t="n">
        <x:f>SQRT('拟合与方案'!$B$7^2+('拟合与方案'!$C$7*(A78-'拟合与方案'!$D$7))^2)</x:f>
        <x:v>3164.9020480419144</x:v>
      </x:c>
      <x:c r="C78" s="92" t="n">
        <x:f>SQRT('拟合与方案'!$B$8^2+('拟合与方案'!$C$8*(A78-'拟合与方案'!$D$8))^2)</x:f>
        <x:v>3393.2233390851766</x:v>
      </x:c>
      <x:c r="D78" s="92" t="n">
        <x:f>MAX(B78,C78)/MIN(B78,C78)</x:f>
        <x:v>1.0721416611248749</x:v>
      </x:c>
      <x:c r="E78" s="92" t="str">
        <x:f>IF(A78&lt;'拟合与方案'!$C$13,"",SQRT('拟合与方案'!$F$13^2+('拟合与方案'!$G$13*(A78-'拟合与方案'!$H$13))^2))</x:f>
      </x:c>
      <x:c r="F78" s="92" t="n">
        <x:f>C78</x:f>
        <x:v>3393.2233390851766</x:v>
      </x:c>
      <x:c r="G78" s="92" t="str">
        <x:f>IF(E78="","",MAX(E78,F78)/MIN(E78,F78))</x:f>
      </x:c>
      <x:c r="H78" s="92" t="str">
        <x:f>IF(A78&lt;'拟合与方案'!$C$15,"",SQRT('拟合与方案'!$F$15^2+('拟合与方案'!$G$15*(A78-'拟合与方案'!$H$15))^2))</x:f>
      </x:c>
      <x:c r="I78" s="92" t="n">
        <x:f>C78</x:f>
        <x:v>3393.2233390851766</x:v>
      </x:c>
      <x:c r="J78" s="92" t="str">
        <x:f>IF(H78="","",MAX(H78,I78)/MIN(H78,I78))</x:f>
      </x:c>
    </x:row>
    <x:row r="79" ht="15" hidden="0" customHeight="1">
      <x:c r="A79" s="92" t="n">
        <x:v>158.5</x:v>
      </x:c>
      <x:c r="B79" s="92" t="n">
        <x:f>SQRT('拟合与方案'!$B$7^2+('拟合与方案'!$C$7*(A79-'拟合与方案'!$D$7))^2)</x:f>
        <x:v>3145.968924731279</x:v>
      </x:c>
      <x:c r="C79" s="92" t="n">
        <x:f>SQRT('拟合与方案'!$B$8^2+('拟合与方案'!$C$8*(A79-'拟合与方案'!$D$8))^2)</x:f>
        <x:v>3371.7881530452755</x:v>
      </x:c>
      <x:c r="D79" s="92" t="n">
        <x:f>MAX(B79,C79)/MIN(B79,C79)</x:f>
        <x:v>1.071780501879333</x:v>
      </x:c>
      <x:c r="E79" s="92" t="str">
        <x:f>IF(A79&lt;'拟合与方案'!$C$13,"",SQRT('拟合与方案'!$F$13^2+('拟合与方案'!$G$13*(A79-'拟合与方案'!$H$13))^2))</x:f>
      </x:c>
      <x:c r="F79" s="92" t="n">
        <x:f>C79</x:f>
        <x:v>3371.7881530452755</x:v>
      </x:c>
      <x:c r="G79" s="92" t="str">
        <x:f>IF(E79="","",MAX(E79,F79)/MIN(E79,F79))</x:f>
      </x:c>
      <x:c r="H79" s="92" t="str">
        <x:f>IF(A79&lt;'拟合与方案'!$C$15,"",SQRT('拟合与方案'!$F$15^2+('拟合与方案'!$G$15*(A79-'拟合与方案'!$H$15))^2))</x:f>
      </x:c>
      <x:c r="I79" s="92" t="n">
        <x:f>C79</x:f>
        <x:v>3371.7881530452755</x:v>
      </x:c>
      <x:c r="J79" s="92" t="str">
        <x:f>IF(H79="","",MAX(H79,I79)/MIN(H79,I79))</x:f>
      </x:c>
    </x:row>
    <x:row r="80" ht="15" hidden="0" customHeight="1">
      <x:c r="A80" s="92" t="n">
        <x:v>159</x:v>
      </x:c>
      <x:c r="B80" s="92" t="n">
        <x:f>SQRT('拟合与方案'!$B$7^2+('拟合与方案'!$C$7*(A80-'拟合与方案'!$D$7))^2)</x:f>
        <x:v>3127.0457380573007</x:v>
      </x:c>
      <x:c r="C80" s="92" t="n">
        <x:f>SQRT('拟合与方案'!$B$8^2+('拟合与方案'!$C$8*(A80-'拟合与方案'!$D$8))^2)</x:f>
        <x:v>3350.3562216986907</x:v>
      </x:c>
      <x:c r="D80" s="92" t="n">
        <x:f>MAX(B80,C80)/MIN(B80,C80)</x:f>
        <x:v>1.0714126054901016</x:v>
      </x:c>
      <x:c r="E80" s="92" t="str">
        <x:f>IF(A80&lt;'拟合与方案'!$C$13,"",SQRT('拟合与方案'!$F$13^2+('拟合与方案'!$G$13*(A80-'拟合与方案'!$H$13))^2))</x:f>
      </x:c>
      <x:c r="F80" s="92" t="n">
        <x:f>C80</x:f>
        <x:v>3350.3562216986907</x:v>
      </x:c>
      <x:c r="G80" s="92" t="str">
        <x:f>IF(E80="","",MAX(E80,F80)/MIN(E80,F80))</x:f>
      </x:c>
      <x:c r="H80" s="92" t="str">
        <x:f>IF(A80&lt;'拟合与方案'!$C$15,"",SQRT('拟合与方案'!$F$15^2+('拟合与方案'!$G$15*(A80-'拟合与方案'!$H$15))^2))</x:f>
      </x:c>
      <x:c r="I80" s="92" t="n">
        <x:f>C80</x:f>
        <x:v>3350.3562216986907</x:v>
      </x:c>
      <x:c r="J80" s="92" t="str">
        <x:f>IF(H80="","",MAX(H80,I80)/MIN(H80,I80))</x:f>
      </x:c>
    </x:row>
    <x:row r="81" ht="15" hidden="0" customHeight="1">
      <x:c r="A81" s="92" t="n">
        <x:v>159.5</x:v>
      </x:c>
      <x:c r="B81" s="92" t="n">
        <x:f>SQRT('拟合与方案'!$B$7^2+('拟合与方案'!$C$7*(A81-'拟合与方案'!$D$7))^2)</x:f>
        <x:v>3108.1326695111093</x:v>
      </x:c>
      <x:c r="C81" s="92" t="n">
        <x:f>SQRT('拟合与方案'!$B$8^2+('拟合与方案'!$C$8*(A81-'拟合与方案'!$D$8))^2)</x:f>
        <x:v>3328.9276079074334</x:v>
      </x:c>
      <x:c r="D81" s="92" t="n">
        <x:f>MAX(B81,C81)/MIN(B81,C81)</x:f>
        <x:v>1.0710378101173699</x:v>
      </x:c>
      <x:c r="E81" s="92" t="str">
        <x:f>IF(A81&lt;'拟合与方案'!$C$13,"",SQRT('拟合与方案'!$F$13^2+('拟合与方案'!$G$13*(A81-'拟合与方案'!$H$13))^2))</x:f>
      </x:c>
      <x:c r="F81" s="92" t="n">
        <x:f>C81</x:f>
        <x:v>3328.9276079074334</x:v>
      </x:c>
      <x:c r="G81" s="92" t="str">
        <x:f>IF(E81="","",MAX(E81,F81)/MIN(E81,F81))</x:f>
      </x:c>
      <x:c r="H81" s="92" t="str">
        <x:f>IF(A81&lt;'拟合与方案'!$C$15,"",SQRT('拟合与方案'!$F$15^2+('拟合与方案'!$G$15*(A81-'拟合与方案'!$H$15))^2))</x:f>
      </x:c>
      <x:c r="I81" s="92" t="n">
        <x:f>C81</x:f>
        <x:v>3328.9276079074334</x:v>
      </x:c>
      <x:c r="J81" s="92" t="str">
        <x:f>IF(H81="","",MAX(H81,I81)/MIN(H81,I81))</x:f>
      </x:c>
    </x:row>
    <x:row r="82" ht="15" hidden="0" customHeight="1">
      <x:c r="A82" s="92" t="n">
        <x:v>160</x:v>
      </x:c>
      <x:c r="B82" s="92" t="n">
        <x:f>SQRT('拟合与方案'!$B$7^2+('拟合与方案'!$C$7*(A82-'拟合与方案'!$D$7))^2)</x:f>
        <x:v>3089.2299049301346</x:v>
      </x:c>
      <x:c r="C82" s="92" t="n">
        <x:f>SQRT('拟合与方案'!$B$8^2+('拟合与方案'!$C$8*(A82-'拟合与方案'!$D$8))^2)</x:f>
        <x:v>3307.502376152741</x:v>
      </x:c>
      <x:c r="D82" s="92" t="n">
        <x:f>MAX(B82,C82)/MIN(B82,C82)</x:f>
        <x:v>1.0706559491976506</x:v>
      </x:c>
      <x:c r="E82" s="92" t="str">
        <x:f>IF(A82&lt;'拟合与方案'!$C$13,"",SQRT('拟合与方案'!$F$13^2+('拟合与方案'!$G$13*(A82-'拟合与方案'!$H$13))^2))</x:f>
      </x:c>
      <x:c r="F82" s="92" t="n">
        <x:f>C82</x:f>
        <x:v>3307.502376152741</x:v>
      </x:c>
      <x:c r="G82" s="92" t="str">
        <x:f>IF(E82="","",MAX(E82,F82)/MIN(E82,F82))</x:f>
      </x:c>
      <x:c r="H82" s="92" t="str">
        <x:f>IF(A82&lt;'拟合与方案'!$C$15,"",SQRT('拟合与方案'!$F$15^2+('拟合与方案'!$G$15*(A82-'拟合与方案'!$H$15))^2))</x:f>
      </x:c>
      <x:c r="I82" s="92" t="n">
        <x:f>C82</x:f>
        <x:v>3307.502376152741</x:v>
      </x:c>
      <x:c r="J82" s="92" t="str">
        <x:f>IF(H82="","",MAX(H82,I82)/MIN(H82,I82))</x:f>
      </x:c>
    </x:row>
    <x:row r="83" ht="15" hidden="0" customHeight="1">
      <x:c r="A83" s="92" t="n">
        <x:v>160.5</x:v>
      </x:c>
      <x:c r="B83" s="92" t="n">
        <x:f>SQRT('拟合与方案'!$B$7^2+('拟合与方案'!$C$7*(A83-'拟合与方案'!$D$7))^2)</x:f>
        <x:v>3070.337634625794</x:v>
      </x:c>
      <x:c r="C83" s="92" t="n">
        <x:f>SQRT('拟合与方案'!$B$8^2+('拟合与方案'!$C$8*(A83-'拟合与方案'!$D$8))^2)</x:f>
        <x:v>3286.0805925872055</x:v>
      </x:c>
      <x:c r="D83" s="92" t="n">
        <x:f>MAX(B83,C83)/MIN(B83,C83)</x:f>
        <x:v>1.0702668512831832</x:v>
      </x:c>
      <x:c r="E83" s="92" t="str">
        <x:f>IF(A83&lt;'拟合与方案'!$C$13,"",SQRT('拟合与方案'!$F$13^2+('拟合与方案'!$G$13*(A83-'拟合与方案'!$H$13))^2))</x:f>
      </x:c>
      <x:c r="F83" s="92" t="n">
        <x:f>C83</x:f>
        <x:v>3286.0805925872055</x:v>
      </x:c>
      <x:c r="G83" s="92" t="str">
        <x:f>IF(E83="","",MAX(E83,F83)/MIN(E83,F83))</x:f>
      </x:c>
      <x:c r="H83" s="92" t="str">
        <x:f>IF(A83&lt;'拟合与方案'!$C$15,"",SQRT('拟合与方案'!$F$15^2+('拟合与方案'!$G$15*(A83-'拟合与方案'!$H$15))^2))</x:f>
      </x:c>
      <x:c r="I83" s="92" t="n">
        <x:f>C83</x:f>
        <x:v>3286.0805925872055</x:v>
      </x:c>
      <x:c r="J83" s="92" t="str">
        <x:f>IF(H83="","",MAX(H83,I83)/MIN(H83,I83))</x:f>
      </x:c>
    </x:row>
    <x:row r="84" ht="15" hidden="0" customHeight="1">
      <x:c r="A84" s="92" t="n">
        <x:v>161</x:v>
      </x:c>
      <x:c r="B84" s="92" t="n">
        <x:f>SQRT('拟合与方案'!$B$7^2+('拟合与方案'!$C$7*(A84-'拟合与方案'!$D$7))^2)</x:f>
        <x:v>3051.4560535155765</x:v>
      </x:c>
      <x:c r="C84" s="92" t="n">
        <x:f>SQRT('拟合与方案'!$B$8^2+('拟合与方案'!$C$8*(A84-'拟合与方案'!$D$8))^2)</x:f>
        <x:v>3264.662325088931</x:v>
      </x:c>
      <x:c r="D84" s="92" t="n">
        <x:f>MAX(B84,C84)/MIN(B84,C84)</x:f>
        <x:v>1.069870339875195</x:v>
      </x:c>
      <x:c r="E84" s="92" t="str">
        <x:f>IF(A84&lt;'拟合与方案'!$C$13,"",SQRT('拟合与方案'!$F$13^2+('拟合与方案'!$G$13*(A84-'拟合与方案'!$H$13))^2))</x:f>
      </x:c>
      <x:c r="F84" s="92" t="n">
        <x:f>C84</x:f>
        <x:v>3264.662325088931</x:v>
      </x:c>
      <x:c r="G84" s="92" t="str">
        <x:f>IF(E84="","",MAX(E84,F84)/MIN(E84,F84))</x:f>
      </x:c>
      <x:c r="H84" s="92" t="str">
        <x:f>IF(A84&lt;'拟合与方案'!$C$15,"",SQRT('拟合与方案'!$F$15^2+('拟合与方案'!$G$15*(A84-'拟合与方案'!$H$15))^2))</x:f>
      </x:c>
      <x:c r="I84" s="92" t="n">
        <x:f>C84</x:f>
        <x:v>3264.662325088931</x:v>
      </x:c>
      <x:c r="J84" s="92" t="str">
        <x:f>IF(H84="","",MAX(H84,I84)/MIN(H84,I84))</x:f>
      </x:c>
    </x:row>
    <x:row r="85" ht="15" hidden="0" customHeight="1">
      <x:c r="A85" s="92" t="n">
        <x:v>161.5</x:v>
      </x:c>
      <x:c r="B85" s="92" t="n">
        <x:f>SQRT('拟合与方案'!$B$7^2+('拟合与方案'!$C$7*(A85-'拟合与方案'!$D$7))^2)</x:f>
        <x:v>3032.5853612597075</x:v>
      </x:c>
      <x:c r="C85" s="92" t="n">
        <x:f>SQRT('拟合与方案'!$B$8^2+('拟合与方案'!$C$8*(A85-'拟合与方案'!$D$8))^2)</x:f>
        <x:v>3243.247643317788</x:v>
      </x:c>
      <x:c r="D85" s="92" t="n">
        <x:f>MAX(B85,C85)/MIN(B85,C85)</x:f>
        <x:v>1.0694662332507512</x:v>
      </x:c>
      <x:c r="E85" s="92" t="str">
        <x:f>IF(A85&lt;'拟合与方案'!$C$13,"",SQRT('拟合与方案'!$F$13^2+('拟合与方案'!$G$13*(A85-'拟合与方案'!$H$13))^2))</x:f>
      </x:c>
      <x:c r="F85" s="92" t="n">
        <x:f>C85</x:f>
        <x:v>3243.247643317788</x:v>
      </x:c>
      <x:c r="G85" s="92" t="str">
        <x:f>IF(E85="","",MAX(E85,F85)/MIN(E85,F85))</x:f>
      </x:c>
      <x:c r="H85" s="92" t="str">
        <x:f>IF(A85&lt;'拟合与方案'!$C$15,"",SQRT('拟合与方案'!$F$15^2+('拟合与方案'!$G$15*(A85-'拟合与方案'!$H$15))^2))</x:f>
      </x:c>
      <x:c r="I85" s="92" t="n">
        <x:f>C85</x:f>
        <x:v>3243.247643317788</x:v>
      </x:c>
      <x:c r="J85" s="92" t="str">
        <x:f>IF(H85="","",MAX(H85,I85)/MIN(H85,I85))</x:f>
      </x:c>
    </x:row>
    <x:row r="86" ht="15" hidden="0" customHeight="1">
      <x:c r="A86" s="92" t="n">
        <x:v>162</x:v>
      </x:c>
      <x:c r="B86" s="92" t="n">
        <x:f>SQRT('拟合与方案'!$B$7^2+('拟合与方案'!$C$7*(A86-'拟合与方案'!$D$7))^2)</x:f>
        <x:v>3013.7257624025715</x:v>
      </x:c>
      <x:c r="C86" s="92" t="n">
        <x:f>SQRT('拟合与方案'!$B$8^2+('拟合与方案'!$C$8*(A86-'拟合与方案'!$D$8))^2)</x:f>
        <x:v>3221.8366187738693</x:v>
      </x:c>
      <x:c r="D86" s="92" t="n">
        <x:f>MAX(B86,C86)/MIN(B86,C86)</x:f>
        <x:v>1.069054344282935</x:v>
      </x:c>
      <x:c r="E86" s="92" t="str">
        <x:f>IF(A86&lt;'拟合与方案'!$C$13,"",SQRT('拟合与方案'!$F$13^2+('拟合与方案'!$G$13*(A86-'拟合与方案'!$H$13))^2))</x:f>
      </x:c>
      <x:c r="F86" s="92" t="n">
        <x:f>C86</x:f>
        <x:v>3221.8366187738693</x:v>
      </x:c>
      <x:c r="G86" s="92" t="str">
        <x:f>IF(E86="","",MAX(E86,F86)/MIN(E86,F86))</x:f>
      </x:c>
      <x:c r="H86" s="92" t="str">
        <x:f>IF(A86&lt;'拟合与方案'!$C$15,"",SQRT('拟合与方案'!$F$15^2+('拟合与方案'!$G$15*(A86-'拟合与方案'!$H$15))^2))</x:f>
      </x:c>
      <x:c r="I86" s="92" t="n">
        <x:f>C86</x:f>
        <x:v>3221.8366187738693</x:v>
      </x:c>
      <x:c r="J86" s="92" t="str">
        <x:f>IF(H86="","",MAX(H86,I86)/MIN(H86,I86))</x:f>
      </x:c>
    </x:row>
    <x:row r="87" ht="15" hidden="0" customHeight="1">
      <x:c r="A87" s="92" t="n">
        <x:v>162.5</x:v>
      </x:c>
      <x:c r="B87" s="92" t="n">
        <x:f>SQRT('拟合与方案'!$B$7^2+('拟合与方案'!$C$7*(A87-'拟合与方案'!$D$7))^2)</x:f>
        <x:v>2994.8774665190767</x:v>
      </x:c>
      <x:c r="C87" s="92" t="n">
        <x:f>SQRT('拟合与方案'!$B$8^2+('拟合与方案'!$C$8*(A87-'拟合与方案'!$D$8))^2)</x:f>
        <x:v>3200.4293248582494</x:v>
      </x:c>
      <x:c r="D87" s="92" t="n">
        <x:f>MAX(B87,C87)/MIN(B87,C87)</x:f>
        <x:v>1.0686344802540733</x:v>
      </x:c>
      <x:c r="E87" s="92" t="str">
        <x:f>IF(A87&lt;'拟合与方案'!$C$13,"",SQRT('拟合与方案'!$F$13^2+('拟合与方案'!$G$13*(A87-'拟合与方案'!$H$13))^2))</x:f>
      </x:c>
      <x:c r="F87" s="92" t="n">
        <x:f>C87</x:f>
        <x:v>3200.4293248582494</x:v>
      </x:c>
      <x:c r="G87" s="92" t="str">
        <x:f>IF(E87="","",MAX(E87,F87)/MIN(E87,F87))</x:f>
      </x:c>
      <x:c r="H87" s="92" t="str">
        <x:f>IF(A87&lt;'拟合与方案'!$C$15,"",SQRT('拟合与方案'!$F$15^2+('拟合与方案'!$G$15*(A87-'拟合与方案'!$H$15))^2))</x:f>
      </x:c>
      <x:c r="I87" s="92" t="n">
        <x:f>C87</x:f>
        <x:v>3200.4293248582494</x:v>
      </x:c>
      <x:c r="J87" s="92" t="str">
        <x:f>IF(H87="","",MAX(H87,I87)/MIN(H87,I87))</x:f>
      </x:c>
    </x:row>
    <x:row r="88" ht="15" hidden="0" customHeight="1">
      <x:c r="A88" s="92" t="n">
        <x:v>163</x:v>
      </x:c>
      <x:c r="B88" s="92" t="n">
        <x:f>SQRT('拟合与方案'!$B$7^2+('拟合与方案'!$C$7*(A88-'拟合与方案'!$D$7))^2)</x:f>
        <x:v>2976.040688366165</x:v>
      </x:c>
      <x:c r="C88" s="92" t="n">
        <x:f>SQRT('拟合与方案'!$B$8^2+('拟合与方案'!$C$8*(A88-'拟合与方案'!$D$8))^2)</x:f>
        <x:v>3179.025836936144</x:v>
      </x:c>
      <x:c r="D88" s="92" t="n">
        <x:f>MAX(B88,C88)/MIN(B88,C88)</x:f>
        <x:v>1.0682064426617155</x:v>
      </x:c>
      <x:c r="E88" s="92" t="str">
        <x:f>IF(A88&lt;'拟合与方案'!$C$13,"",SQRT('拟合与方案'!$F$13^2+('拟合与方案'!$G$13*(A88-'拟合与方案'!$H$13))^2))</x:f>
      </x:c>
      <x:c r="F88" s="92" t="n">
        <x:f>C88</x:f>
        <x:v>3179.025836936144</x:v>
      </x:c>
      <x:c r="G88" s="92" t="str">
        <x:f>IF(E88="","",MAX(E88,F88)/MIN(E88,F88))</x:f>
      </x:c>
      <x:c r="H88" s="92" t="str">
        <x:f>IF(A88&lt;'拟合与方案'!$C$15,"",SQRT('拟合与方案'!$F$15^2+('拟合与方案'!$G$15*(A88-'拟合与方案'!$H$15))^2))</x:f>
      </x:c>
      <x:c r="I88" s="92" t="n">
        <x:f>C88</x:f>
        <x:v>3179.025836936144</x:v>
      </x:c>
      <x:c r="J88" s="92" t="str">
        <x:f>IF(H88="","",MAX(H88,I88)/MIN(H88,I88))</x:f>
      </x:c>
    </x:row>
    <x:row r="89" ht="15" hidden="0" customHeight="1">
      <x:c r="A89" s="92" t="n">
        <x:v>163.5</x:v>
      </x:c>
      <x:c r="B89" s="92" t="n">
        <x:f>SQRT('拟合与方案'!$B$7^2+('拟合与方案'!$C$7*(A89-'拟合与方案'!$D$7))^2)</x:f>
        <x:v>2957.215648039666</x:v>
      </x:c>
      <x:c r="C89" s="92" t="n">
        <x:f>SQRT('拟合与方案'!$B$8^2+('拟合与方案'!$C$8*(A89-'拟合与方案'!$D$8))^2)</x:f>
        <x:v>3157.6262324025956</x:v>
      </x:c>
      <x:c r="D89" s="92" t="n">
        <x:f>MAX(B89,C89)/MIN(B89,C89)</x:f>
        <x:v>1.067770027017063</x:v>
      </x:c>
      <x:c r="E89" s="92" t="str">
        <x:f>IF(A89&lt;'拟合与方案'!$C$13,"",SQRT('拟合与方案'!$F$13^2+('拟合与方案'!$G$13*(A89-'拟合与方案'!$H$13))^2))</x:f>
      </x:c>
      <x:c r="F89" s="92" t="n">
        <x:f>C89</x:f>
        <x:v>3157.6262324025956</x:v>
      </x:c>
      <x:c r="G89" s="92" t="str">
        <x:f>IF(E89="","",MAX(E89,F89)/MIN(E89,F89))</x:f>
      </x:c>
      <x:c r="H89" s="92" t="str">
        <x:f>IF(A89&lt;'拟合与方案'!$C$15,"",SQRT('拟合与方案'!$F$15^2+('拟合与方案'!$G$15*(A89-'拟合与方案'!$H$15))^2))</x:f>
      </x:c>
      <x:c r="I89" s="92" t="n">
        <x:f>C89</x:f>
        <x:v>3157.6262324025956</x:v>
      </x:c>
      <x:c r="J89" s="92" t="str">
        <x:f>IF(H89="","",MAX(H89,I89)/MIN(H89,I89))</x:f>
      </x:c>
    </x:row>
    <x:row r="90" ht="15" hidden="0" customHeight="1">
      <x:c r="A90" s="92" t="n">
        <x:v>164</x:v>
      </x:c>
      <x:c r="B90" s="92" t="n">
        <x:f>SQRT('拟合与方案'!$B$7^2+('拟合与方案'!$C$7*(A90-'拟合与方案'!$D$7))^2)</x:f>
        <x:v>2938.402571136712</x:v>
      </x:c>
      <x:c r="C90" s="92" t="n">
        <x:f>SQRT('拟合与方案'!$B$8^2+('拟合与方案'!$C$8*(A90-'拟合与方案'!$D$8))^2)</x:f>
        <x:v>3136.2305907507816</x:v>
      </x:c>
      <x:c r="D90" s="92" t="n">
        <x:f>MAX(B90,C90)/MIN(B90,C90)</x:f>
        <x:v>1.0673250226355269</x:v>
      </x:c>
      <x:c r="E90" s="92" t="str">
        <x:f>IF(A90&lt;'拟合与方案'!$C$13,"",SQRT('拟合与方案'!$F$13^2+('拟合与方案'!$G$13*(A90-'拟合与方案'!$H$13))^2))</x:f>
      </x:c>
      <x:c r="F90" s="92" t="n">
        <x:f>C90</x:f>
        <x:v>3136.2305907507816</x:v>
      </x:c>
      <x:c r="G90" s="92" t="str">
        <x:f>IF(E90="","",MAX(E90,F90)/MIN(E90,F90))</x:f>
      </x:c>
      <x:c r="H90" s="92" t="str">
        <x:f>IF(A90&lt;'拟合与方案'!$C$15,"",SQRT('拟合与方案'!$F$15^2+('拟合与方案'!$G$15*(A90-'拟合与方案'!$H$15))^2))</x:f>
      </x:c>
      <x:c r="I90" s="92" t="n">
        <x:f>C90</x:f>
        <x:v>3136.2305907507816</x:v>
      </x:c>
      <x:c r="J90" s="92" t="str">
        <x:f>IF(H90="","",MAX(H90,I90)/MIN(H90,I90))</x:f>
      </x:c>
    </x:row>
    <x:row r="91" ht="15" hidden="0" customHeight="1">
      <x:c r="A91" s="92" t="n">
        <x:v>164.5</x:v>
      </x:c>
      <x:c r="B91" s="92" t="n">
        <x:f>SQRT('拟合与方案'!$B$7^2+('拟合与方案'!$C$7*(A91-'拟合与方案'!$D$7))^2)</x:f>
        <x:v>2919.6016889239354</x:v>
      </x:c>
      <x:c r="C91" s="92" t="n">
        <x:f>SQRT('拟合与方案'!$B$8^2+('拟合与方案'!$C$8*(A91-'拟合与方案'!$D$8))^2)</x:f>
        <x:v>3114.838993643094</x:v>
      </x:c>
      <x:c r="D91" s="92" t="n">
        <x:f>MAX(B91,C91)/MIN(B91,C91)</x:f>
        <x:v>1.0668712124190873</x:v>
      </x:c>
      <x:c r="E91" s="92" t="str">
        <x:f>IF(A91&lt;'拟合与方案'!$C$13,"",SQRT('拟合与方案'!$F$13^2+('拟合与方案'!$G$13*(A91-'拟合与方案'!$H$13))^2))</x:f>
      </x:c>
      <x:c r="F91" s="92" t="n">
        <x:f>C91</x:f>
        <x:v>3114.838993643094</x:v>
      </x:c>
      <x:c r="G91" s="92" t="str">
        <x:f>IF(E91="","",MAX(E91,F91)/MIN(E91,F91))</x:f>
      </x:c>
      <x:c r="H91" s="92" t="str">
        <x:f>IF(A91&lt;'拟合与方案'!$C$15,"",SQRT('拟合与方案'!$F$15^2+('拟合与方案'!$G$15*(A91-'拟合与方案'!$H$15))^2))</x:f>
      </x:c>
      <x:c r="I91" s="92" t="n">
        <x:f>C91</x:f>
        <x:v>3114.838993643094</x:v>
      </x:c>
      <x:c r="J91" s="92" t="str">
        <x:f>IF(H91="","",MAX(H91,I91)/MIN(H91,I91))</x:f>
      </x:c>
    </x:row>
    <x:row r="92" ht="15" hidden="0" customHeight="1">
      <x:c r="A92" s="92" t="n">
        <x:v>165</x:v>
      </x:c>
      <x:c r="B92" s="92" t="n">
        <x:f>SQRT('拟合与方案'!$B$7^2+('拟合与方案'!$C$7*(A92-'拟合与方案'!$D$7))^2)</x:f>
        <x:v>2900.8132385116796</x:v>
      </x:c>
      <x:c r="C92" s="92" t="n">
        <x:f>SQRT('拟合与方案'!$B$8^2+('拟合与方案'!$C$8*(A92-'拟合与方案'!$D$8))^2)</x:f>
        <x:v>3093.45152498509</x:v>
      </x:c>
      <x:c r="D92" s="92" t="n">
        <x:f>MAX(B92,C92)/MIN(B92,C92)</x:f>
        <x:v>1.0664083726301</x:v>
      </x:c>
      <x:c r="E92" s="92" t="str">
        <x:f>IF(A92&lt;'拟合与方案'!$C$13,"",SQRT('拟合与方案'!$F$13^2+('拟合与方案'!$G$13*(A92-'拟合与方案'!$H$13))^2))</x:f>
      </x:c>
      <x:c r="F92" s="92" t="n">
        <x:f>C92</x:f>
        <x:v>3093.45152498509</x:v>
      </x:c>
      <x:c r="G92" s="92" t="str">
        <x:f>IF(E92="","",MAX(E92,F92)/MIN(E92,F92))</x:f>
      </x:c>
      <x:c r="H92" s="92" t="str">
        <x:f>IF(A92&lt;'拟合与方案'!$C$15,"",SQRT('拟合与方案'!$F$15^2+('拟合与方案'!$G$15*(A92-'拟合与方案'!$H$15))^2))</x:f>
      </x:c>
      <x:c r="I92" s="92" t="n">
        <x:f>C92</x:f>
        <x:v>3093.45152498509</x:v>
      </x:c>
      <x:c r="J92" s="92" t="str">
        <x:f>IF(H92="","",MAX(H92,I92)/MIN(H92,I92))</x:f>
      </x:c>
    </x:row>
    <x:row r="93" ht="15" hidden="0" customHeight="1">
      <x:c r="A93" s="92" t="n">
        <x:v>165.5</x:v>
      </x:c>
      <x:c r="B93" s="92" t="n">
        <x:f>SQRT('拟合与方案'!$B$7^2+('拟合与方案'!$C$7*(A93-'拟合与方案'!$D$7))^2)</x:f>
        <x:v>2882.037463034479</x:v>
      </x:c>
      <x:c r="C93" s="92" t="n">
        <x:f>SQRT('拟合与方案'!$B$8^2+('拟合与方案'!$C$8*(A93-'拟合与方案'!$D$8))^2)</x:f>
        <x:v>3072.068271002481</x:v>
      </x:c>
      <x:c r="D93" s="92" t="n">
        <x:f>MAX(B93,C93)/MIN(B93,C93)</x:f>
        <x:v>1.0659362726561923</x:v>
      </x:c>
      <x:c r="E93" s="92" t="str">
        <x:f>IF(A93&lt;'拟合与方案'!$C$13,"",SQRT('拟合与方案'!$F$13^2+('拟合与方案'!$G$13*(A93-'拟合与方案'!$H$13))^2))</x:f>
      </x:c>
      <x:c r="F93" s="92" t="n">
        <x:f>C93</x:f>
        <x:v>3072.068271002481</x:v>
      </x:c>
      <x:c r="G93" s="92" t="str">
        <x:f>IF(E93="","",MAX(E93,F93)/MIN(E93,F93))</x:f>
      </x:c>
      <x:c r="H93" s="92" t="str">
        <x:f>IF(A93&lt;'拟合与方案'!$C$15,"",SQRT('拟合与方案'!$F$15^2+('拟合与方案'!$G$15*(A93-'拟合与方案'!$H$15))^2))</x:f>
      </x:c>
      <x:c r="I93" s="92" t="n">
        <x:f>C93</x:f>
        <x:v>3072.068271002481</x:v>
      </x:c>
      <x:c r="J93" s="92" t="str">
        <x:f>IF(H93="","",MAX(H93,I93)/MIN(H93,I93))</x:f>
      </x:c>
    </x:row>
    <x:row r="94" ht="15" hidden="0" customHeight="1">
      <x:c r="A94" s="92" t="n">
        <x:v>166</x:v>
      </x:c>
      <x:c r="B94" s="92" t="n">
        <x:f>SQRT('拟合与方案'!$B$7^2+('拟合与方案'!$C$7*(A94-'拟合与方案'!$D$7))^2)</x:f>
        <x:v>2863.2746118380423</x:v>
      </x:c>
      <x:c r="C94" s="92" t="n">
        <x:f>SQRT('拟合与方案'!$B$8^2+('拟合与方案'!$C$8*(A94-'拟合与方案'!$D$8))^2)</x:f>
        <x:v>3050.6893203212776</x:v>
      </x:c>
      <x:c r="D94" s="92" t="n">
        <x:f>MAX(B94,C94)/MIN(B94,C94)</x:f>
        <x:v>1.0654546747658713</x:v>
      </x:c>
      <x:c r="E94" s="92" t="str">
        <x:f>IF(A94&lt;'拟合与方案'!$C$13,"",SQRT('拟合与方案'!$F$13^2+('拟合与方案'!$G$13*(A94-'拟合与方案'!$H$13))^2))</x:f>
      </x:c>
      <x:c r="F94" s="92" t="n">
        <x:f>C94</x:f>
        <x:v>3050.6893203212776</x:v>
      </x:c>
      <x:c r="G94" s="92" t="str">
        <x:f>IF(E94="","",MAX(E94,F94)/MIN(E94,F94))</x:f>
      </x:c>
      <x:c r="H94" s="92" t="str">
        <x:f>IF(A94&lt;'拟合与方案'!$C$15,"",SQRT('拟合与方案'!$F$15^2+('拟合与方案'!$G$15*(A94-'拟合与方案'!$H$15))^2))</x:f>
      </x:c>
      <x:c r="I94" s="92" t="n">
        <x:f>C94</x:f>
        <x:v>3050.6893203212776</x:v>
      </x:c>
      <x:c r="J94" s="92" t="str">
        <x:f>IF(H94="","",MAX(H94,I94)/MIN(H94,I94))</x:f>
      </x:c>
    </x:row>
    <x:row r="95" ht="15" hidden="0" customHeight="1">
      <x:c r="A95" s="92" t="n">
        <x:v>166.5</x:v>
      </x:c>
      <x:c r="B95" s="92" t="n">
        <x:f>SQRT('拟合与方案'!$B$7^2+('拟合与方案'!$C$7*(A95-'拟合与方案'!$D$7))^2)</x:f>
        <x:v>2844.5249406730177</x:v>
      </x:c>
      <x:c r="C95" s="92" t="n">
        <x:f>SQRT('拟合与方案'!$B$8^2+('拟合与方案'!$C$8*(A95-'拟合与方案'!$D$8))^2)</x:f>
        <x:v>3029.314764051263</x:v>
      </x:c>
      <x:c r="D95" s="92" t="n">
        <x:f>MAX(B95,C95)/MIN(B95,C95)</x:f>
        <x:v>1.064963333854448</x:v>
      </x:c>
      <x:c r="E95" s="92" t="str">
        <x:f>IF(A95&lt;'拟合与方案'!$C$13,"",SQRT('拟合与方案'!$F$13^2+('拟合与方案'!$G$13*(A95-'拟合与方案'!$H$13))^2))</x:f>
      </x:c>
      <x:c r="F95" s="92" t="n">
        <x:f>C95</x:f>
        <x:v>3029.314764051263</x:v>
      </x:c>
      <x:c r="G95" s="92" t="str">
        <x:f>IF(E95="","",MAX(E95,F95)/MIN(E95,F95))</x:f>
      </x:c>
      <x:c r="H95" s="92" t="str">
        <x:f>IF(A95&lt;'拟合与方案'!$C$15,"",SQRT('拟合与方案'!$F$15^2+('拟合与方案'!$G$15*(A95-'拟合与方案'!$H$15))^2))</x:f>
      </x:c>
      <x:c r="I95" s="92" t="n">
        <x:f>C95</x:f>
        <x:v>3029.314764051263</x:v>
      </x:c>
      <x:c r="J95" s="92" t="str">
        <x:f>IF(H95="","",MAX(H95,I95)/MIN(H95,I95))</x:f>
      </x:c>
    </x:row>
    <x:row r="96" ht="15" hidden="0" customHeight="1">
      <x:c r="A96" s="92" t="n">
        <x:v>167</x:v>
      </x:c>
      <x:c r="B96" s="92" t="n">
        <x:f>SQRT('拟合与方案'!$B$7^2+('拟合与方案'!$C$7*(A96-'拟合与方案'!$D$7))^2)</x:f>
        <x:v>2825.788711895823</x:v>
      </x:c>
      <x:c r="C96" s="92" t="n">
        <x:f>SQRT('拟合与方案'!$B$8^2+('拟合与方案'!$C$8*(A96-'拟合与方案'!$D$8))^2)</x:f>
        <x:v>3007.9446958729395</x:v>
      </x:c>
      <x:c r="D96" s="92" t="n">
        <x:f>MAX(B96,C96)/MIN(B96,C96)</x:f>
        <x:v>1.0644619971798628</x:v>
      </x:c>
      <x:c r="E96" s="92" t="str">
        <x:f>IF(A96&lt;'拟合与方案'!$C$13,"",SQRT('拟合与方案'!$F$13^2+('拟合与方案'!$G$13*(A96-'拟合与方案'!$H$13))^2))</x:f>
      </x:c>
      <x:c r="F96" s="92" t="n">
        <x:f>C96</x:f>
        <x:v>3007.9446958729395</x:v>
      </x:c>
      <x:c r="G96" s="92" t="str">
        <x:f>IF(E96="","",MAX(E96,F96)/MIN(E96,F96))</x:f>
      </x:c>
      <x:c r="H96" s="92" t="str">
        <x:f>IF(A96&lt;'拟合与方案'!$C$15,"",SQRT('拟合与方案'!$F$15^2+('拟合与方案'!$G$15*(A96-'拟合与方案'!$H$15))^2))</x:f>
      </x:c>
      <x:c r="I96" s="92" t="n">
        <x:f>C96</x:f>
        <x:v>3007.9446958729395</x:v>
      </x:c>
      <x:c r="J96" s="92" t="str">
        <x:f>IF(H96="","",MAX(H96,I96)/MIN(H96,I96))</x:f>
      </x:c>
    </x:row>
    <x:row r="97" ht="15" hidden="0" customHeight="1">
      <x:c r="A97" s="92" t="n">
        <x:v>167.5</x:v>
      </x:c>
      <x:c r="B97" s="92" t="n">
        <x:f>SQRT('拟合与方案'!$B$7^2+('拟合与方案'!$C$7*(A97-'拟合与方案'!$D$7))^2)</x:f>
        <x:v>2807.0661946768096</x:v>
      </x:c>
      <x:c r="C97" s="92" t="n">
        <x:f>SQRT('拟合与方案'!$B$8^2+('拟合与方案'!$C$8*(A97-'拟合与方案'!$D$8))^2)</x:f>
        <x:v>2986.5792121281293</x:v>
      </x:c>
      <x:c r="D97" s="92" t="n">
        <x:f>MAX(B97,C97)/MIN(B97,C97)</x:f>
        <x:v>1.0639504040879906</x:v>
      </x:c>
      <x:c r="E97" s="92" t="str">
        <x:f>IF(A97&lt;'拟合与方案'!$C$13,"",SQRT('拟合与方案'!$F$13^2+('拟合与方案'!$G$13*(A97-'拟合与方案'!$H$13))^2))</x:f>
      </x:c>
      <x:c r="F97" s="92" t="n">
        <x:f>C97</x:f>
        <x:v>2986.5792121281293</x:v>
      </x:c>
      <x:c r="G97" s="92" t="str">
        <x:f>IF(E97="","",MAX(E97,F97)/MIN(E97,F97))</x:f>
      </x:c>
      <x:c r="H97" s="92" t="str">
        <x:f>IF(A97&lt;'拟合与方案'!$C$15,"",SQRT('拟合与方案'!$F$15^2+('拟合与方案'!$G$15*(A97-'拟合与方案'!$H$15))^2))</x:f>
      </x:c>
      <x:c r="I97" s="92" t="n">
        <x:f>C97</x:f>
        <x:v>2986.5792121281293</x:v>
      </x:c>
      <x:c r="J97" s="92" t="str">
        <x:f>IF(H97="","",MAX(H97,I97)/MIN(H97,I97))</x:f>
      </x:c>
    </x:row>
    <x:row r="98" ht="15" hidden="0" customHeight="1">
      <x:c r="A98" s="92" t="n">
        <x:v>168</x:v>
      </x:c>
      <x:c r="B98" s="92" t="n">
        <x:f>SQRT('拟合与方案'!$B$7^2+('拟合与方案'!$C$7*(A98-'拟合与方案'!$D$7))^2)</x:f>
        <x:v>2788.357665216087</x:v>
      </x:c>
      <x:c r="C98" s="92" t="n">
        <x:f>SQRT('拟合与方案'!$B$8^2+('拟合与方案'!$C$8*(A98-'拟合与方案'!$D$8))^2)</x:f>
        <x:v>2965.218411914397</x:v>
      </x:c>
      <x:c r="D98" s="92" t="n">
        <x:f>MAX(B98,C98)/MIN(B98,C98)</x:f>
        <x:v>1.063428285726969</x:v>
      </x:c>
      <x:c r="E98" s="92" t="str">
        <x:f>IF(A98&lt;'拟合与方案'!$C$13,"",SQRT('拟合与方案'!$F$13^2+('拟合与方案'!$G$13*(A98-'拟合与方案'!$H$13))^2))</x:f>
      </x:c>
      <x:c r="F98" s="92" t="n">
        <x:f>C98</x:f>
        <x:v>2965.218411914397</x:v>
      </x:c>
      <x:c r="G98" s="92" t="str">
        <x:f>IF(E98="","",MAX(E98,F98)/MIN(E98,F98))</x:f>
      </x:c>
      <x:c r="H98" s="92" t="str">
        <x:f>IF(A98&lt;'拟合与方案'!$C$15,"",SQRT('拟合与方案'!$F$15^2+('拟合与方案'!$G$15*(A98-'拟合与方案'!$H$15))^2))</x:f>
      </x:c>
      <x:c r="I98" s="92" t="n">
        <x:f>C98</x:f>
        <x:v>2965.218411914397</x:v>
      </x:c>
      <x:c r="J98" s="92" t="str">
        <x:f>IF(H98="","",MAX(H98,I98)/MIN(H98,I98))</x:f>
      </x:c>
    </x:row>
    <x:row r="99" ht="15" hidden="0" customHeight="1">
      <x:c r="A99" s="92" t="n">
        <x:v>168.5</x:v>
      </x:c>
      <x:c r="B99" s="92" t="n">
        <x:f>SQRT('拟合与方案'!$B$7^2+('拟合与方案'!$C$7*(A99-'拟合与方案'!$D$7))^2)</x:f>
        <x:v>2769.663406967306</x:v>
      </x:c>
      <x:c r="C99" s="92" t="n">
        <x:f>SQRT('拟合与方案'!$B$8^2+('拟合与方案'!$C$8*(A99-'拟合与方案'!$D$8))^2)</x:f>
        <x:v>2943.862397183492</x:v>
      </x:c>
      <x:c r="D99" s="92" t="n">
        <x:f>MAX(B99,C99)/MIN(B99,C99)</x:f>
        <x:v>1.06289536475009</x:v>
      </x:c>
      <x:c r="E99" s="92" t="str">
        <x:f>IF(A99&lt;'拟合与方案'!$C$13,"",SQRT('拟合与方案'!$F$13^2+('拟合与方案'!$G$13*(A99-'拟合与方案'!$H$13))^2))</x:f>
      </x:c>
      <x:c r="F99" s="92" t="n">
        <x:f>C99</x:f>
        <x:v>2943.862397183492</x:v>
      </x:c>
      <x:c r="G99" s="92" t="str">
        <x:f>IF(E99="","",MAX(E99,F99)/MIN(E99,F99))</x:f>
      </x:c>
      <x:c r="H99" s="92" t="str">
        <x:f>IF(A99&lt;'拟合与方案'!$C$15,"",SQRT('拟合与方案'!$F$15^2+('拟合与方案'!$G$15*(A99-'拟合与方案'!$H$15))^2))</x:f>
      </x:c>
      <x:c r="I99" s="92" t="n">
        <x:f>C99</x:f>
        <x:v>2943.862397183492</x:v>
      </x:c>
      <x:c r="J99" s="92" t="str">
        <x:f>IF(H99="","",MAX(H99,I99)/MIN(H99,I99))</x:f>
      </x:c>
    </x:row>
    <x:row r="100" ht="15" hidden="0" customHeight="1">
      <x:c r="A100" s="92" t="n">
        <x:v>169</x:v>
      </x:c>
      <x:c r="B100" s="92" t="n">
        <x:f>SQRT('拟合与方案'!$B$7^2+('拟合与方案'!$C$7*(A100-'拟合与方案'!$D$7))^2)</x:f>
        <x:v>2750.983710869742</x:v>
      </x:c>
      <x:c r="C100" s="92" t="n">
        <x:f>SQRT('拟合与方案'!$B$8^2+('拟合与方案'!$C$8*(A100-'拟合与方案'!$D$8))^2)</x:f>
        <x:v>2922.5112728440013</x:v>
      </x:c>
      <x:c r="D100" s="92" t="n">
        <x:f>MAX(B100,C100)/MIN(B100,C100)</x:f>
        <x:v>1.0623513550067623</x:v>
      </x:c>
      <x:c r="E100" s="92" t="str">
        <x:f>IF(A100&lt;'拟合与方案'!$C$13,"",SQRT('拟合与方案'!$F$13^2+('拟合与方案'!$G$13*(A100-'拟合与方案'!$H$13))^2))</x:f>
      </x:c>
      <x:c r="F100" s="92" t="n">
        <x:f>C100</x:f>
        <x:v>2922.5112728440013</x:v>
      </x:c>
      <x:c r="G100" s="92" t="str">
        <x:f>IF(E100="","",MAX(E100,F100)/MIN(E100,F100))</x:f>
      </x:c>
      <x:c r="H100" s="92" t="str">
        <x:f>IF(A100&lt;'拟合与方案'!$C$15,"",SQRT('拟合与方案'!$F$15^2+('拟合与方案'!$G$15*(A100-'拟合与方案'!$H$15))^2))</x:f>
      </x:c>
      <x:c r="I100" s="92" t="n">
        <x:f>C100</x:f>
        <x:v>2922.5112728440013</x:v>
      </x:c>
      <x:c r="J100" s="92" t="str">
        <x:f>IF(H100="","",MAX(H100,I100)/MIN(H100,I100))</x:f>
      </x:c>
    </x:row>
    <x:row r="101" ht="15" hidden="0" customHeight="1">
      <x:c r="A101" s="92" t="n">
        <x:v>169.5</x:v>
      </x:c>
      <x:c r="B101" s="92" t="n">
        <x:f>SQRT('拟合与方案'!$B$7^2+('拟合与方案'!$C$7*(A101-'拟合与方案'!$D$7))^2)</x:f>
        <x:v>2732.3188755890187</x:v>
      </x:c>
      <x:c r="C101" s="92" t="n">
        <x:f>SQRT('拟合与方案'!$B$8^2+('拟合与方案'!$C$8*(A101-'拟合与方案'!$D$8))^2)</x:f>
        <x:v>2901.1651468684313</x:v>
      </x:c>
      <x:c r="D101" s="92" t="n">
        <x:f>MAX(B101,C101)/MIN(B101,C101)</x:f>
        <x:v>1.0617959612210393</x:v>
      </x:c>
      <x:c r="E101" s="92" t="str">
        <x:f>IF(A101&lt;'拟合与方案'!$C$13,"",SQRT('拟合与方案'!$F$13^2+('拟合与方案'!$G$13*(A101-'拟合与方案'!$H$13))^2))</x:f>
      </x:c>
      <x:c r="F101" s="92" t="n">
        <x:f>C101</x:f>
        <x:v>2901.1651468684313</x:v>
      </x:c>
      <x:c r="G101" s="92" t="str">
        <x:f>IF(E101="","",MAX(E101,F101)/MIN(E101,F101))</x:f>
      </x:c>
      <x:c r="H101" s="92" t="str">
        <x:f>IF(A101&lt;'拟合与方案'!$C$15,"",SQRT('拟合与方案'!$F$15^2+('拟合与方案'!$G$15*(A101-'拟合与方案'!$H$15))^2))</x:f>
      </x:c>
      <x:c r="I101" s="92" t="n">
        <x:f>C101</x:f>
        <x:v>2901.1651468684313</x:v>
      </x:c>
      <x:c r="J101" s="92" t="str">
        <x:f>IF(H101="","",MAX(H101,I101)/MIN(H101,I101))</x:f>
      </x:c>
    </x:row>
    <x:row r="102" ht="15" hidden="0" customHeight="1">
      <x:c r="A102" s="92" t="n">
        <x:v>170</x:v>
      </x:c>
      <x:c r="B102" s="92" t="n">
        <x:f>SQRT('拟合与方案'!$B$7^2+('拟合与方案'!$C$7*(A102-'拟合与方案'!$D$7))^2)</x:f>
        <x:v>2713.6692077668376</x:v>
      </x:c>
      <x:c r="C102" s="92" t="n">
        <x:f>SQRT('拟合与方案'!$B$8^2+('拟合与方案'!$C$8*(A102-'拟合与方案'!$D$8))^2)</x:f>
        <x:v>2879.8241304049325</x:v>
      </x:c>
      <x:c r="D102" s="92" t="n">
        <x:f>MAX(B102,C102)/MIN(B102,C102)</x:f>
        <x:v>1.0612288786571848</x:v>
      </x:c>
      <x:c r="E102" s="92" t="str">
        <x:f>IF(A102&lt;'拟合与方案'!$C$13,"",SQRT('拟合与方案'!$F$13^2+('拟合与方案'!$G$13*(A102-'拟合与方案'!$H$13))^2))</x:f>
      </x:c>
      <x:c r="F102" s="92" t="n">
        <x:f>C102</x:f>
        <x:v>2879.8241304049325</x:v>
      </x:c>
      <x:c r="G102" s="92" t="str">
        <x:f>IF(E102="","",MAX(E102,F102)/MIN(E102,F102))</x:f>
      </x:c>
      <x:c r="H102" s="92" t="str">
        <x:f>IF(A102&lt;'拟合与方案'!$C$15,"",SQRT('拟合与方案'!$F$15^2+('拟合与方案'!$G$15*(A102-'拟合与方案'!$H$15))^2))</x:f>
      </x:c>
      <x:c r="I102" s="92" t="n">
        <x:f>C102</x:f>
        <x:v>2879.8241304049325</x:v>
      </x:c>
      <x:c r="J102" s="92" t="str">
        <x:f>IF(H102="","",MAX(H102,I102)/MIN(H102,I102))</x:f>
      </x:c>
    </x:row>
    <x:row r="103" ht="15" hidden="0" customHeight="1">
      <x:c r="A103" s="92" t="n">
        <x:v>170.5</x:v>
      </x:c>
      <x:c r="B103" s="92" t="n">
        <x:f>SQRT('拟合与方案'!$B$7^2+('拟合与方案'!$C$7*(A103-'拟合与方案'!$D$7))^2)</x:f>
        <x:v>2695.035022280086</x:v>
      </x:c>
      <x:c r="C103" s="92" t="n">
        <x:f>SQRT('拟合与方案'!$B$8^2+('拟合与方案'!$C$8*(A103-'拟合与方案'!$D$8))^2)</x:f>
        <x:v>2858.4883378939044</x:v>
      </x:c>
      <x:c r="D103" s="92" t="n">
        <x:f>MAX(B103,C103)/MIN(B103,C103)</x:f>
        <x:v>1.0606497927717211</x:v>
      </x:c>
      <x:c r="E103" s="92" t="str">
        <x:f>IF(A103&lt;'拟合与方案'!$C$13,"",SQRT('拟合与方案'!$F$13^2+('拟合与方案'!$G$13*(A103-'拟合与方案'!$H$13))^2))</x:f>
      </x:c>
      <x:c r="F103" s="92" t="n">
        <x:f>C103</x:f>
        <x:v>2858.4883378939044</x:v>
      </x:c>
      <x:c r="G103" s="92" t="str">
        <x:f>IF(E103="","",MAX(E103,F103)/MIN(E103,F103))</x:f>
      </x:c>
      <x:c r="H103" s="92" t="str">
        <x:f>IF(A103&lt;'拟合与方案'!$C$15,"",SQRT('拟合与方案'!$F$15^2+('拟合与方案'!$G$15*(A103-'拟合与方案'!$H$15))^2))</x:f>
      </x:c>
      <x:c r="I103" s="92" t="n">
        <x:f>C103</x:f>
        <x:v>2858.4883378939044</x:v>
      </x:c>
      <x:c r="J103" s="92" t="str">
        <x:f>IF(H103="","",MAX(H103,I103)/MIN(H103,I103))</x:f>
      </x:c>
    </x:row>
    <x:row r="104" ht="15" hidden="0" customHeight="1">
      <x:c r="A104" s="92" t="n">
        <x:v>171</x:v>
      </x:c>
      <x:c r="B104" s="92" t="n">
        <x:f>SQRT('拟合与方案'!$B$7^2+('拟合与方案'!$C$7*(A104-'拟合与方案'!$D$7))^2)</x:f>
        <x:v>2676.4166425097246</x:v>
      </x:c>
      <x:c r="C104" s="92" t="n">
        <x:f>SQRT('拟合与方案'!$B$8^2+('拟合与方案'!$C$8*(A104-'拟合与方案'!$D$8))^2)</x:f>
        <x:v>2837.157887189735</x:v>
      </x:c>
      <x:c r="D104" s="92" t="n">
        <x:f>MAX(B104,C104)/MIN(B104,C104)</x:f>
        <x:v>1.0600583788513886</x:v>
      </x:c>
      <x:c r="E104" s="92" t="str">
        <x:f>IF(A104&lt;'拟合与方案'!$C$13,"",SQRT('拟合与方案'!$F$13^2+('拟合与方案'!$G$13*(A104-'拟合与方案'!$H$13))^2))</x:f>
      </x:c>
      <x:c r="F104" s="92" t="n">
        <x:f>C104</x:f>
        <x:v>2837.157887189735</x:v>
      </x:c>
      <x:c r="G104" s="92" t="str">
        <x:f>IF(E104="","",MAX(E104,F104)/MIN(E104,F104))</x:f>
      </x:c>
      <x:c r="H104" s="92" t="str">
        <x:f>IF(A104&lt;'拟合与方案'!$C$15,"",SQRT('拟合与方案'!$F$15^2+('拟合与方案'!$G$15*(A104-'拟合与方案'!$H$15))^2))</x:f>
      </x:c>
      <x:c r="I104" s="92" t="n">
        <x:f>C104</x:f>
        <x:v>2837.157887189735</x:v>
      </x:c>
      <x:c r="J104" s="92" t="str">
        <x:f>IF(H104="","",MAX(H104,I104)/MIN(H104,I104))</x:f>
      </x:c>
    </x:row>
    <x:row r="105" ht="15" hidden="0" customHeight="1">
      <x:c r="A105" s="92" t="n">
        <x:v>171.5</x:v>
      </x:c>
      <x:c r="B105" s="92" t="n">
        <x:f>SQRT('拟合与方案'!$B$7^2+('拟合与方案'!$C$7*(A105-'拟合与方案'!$D$7))^2)</x:f>
        <x:v>2657.814400619859</x:v>
      </x:c>
      <x:c r="C105" s="92" t="n">
        <x:f>SQRT('拟合与方案'!$B$8^2+('拟合与方案'!$C$8*(A105-'拟合与方案'!$D$8))^2)</x:f>
        <x:v>2815.832899687927</x:v>
      </x:c>
      <x:c r="D105" s="92" t="n">
        <x:f>MAX(B105,C105)/MIN(B105,C105)</x:f>
        <x:v>1.0594543016364177</x:v>
      </x:c>
      <x:c r="E105" s="92" t="str">
        <x:f>IF(A105&lt;'拟合与方案'!$C$13,"",SQRT('拟合与方案'!$F$13^2+('拟合与方案'!$G$13*(A105-'拟合与方案'!$H$13))^2))</x:f>
      </x:c>
      <x:c r="F105" s="92" t="n">
        <x:f>C105</x:f>
        <x:v>2815.832899687927</x:v>
      </x:c>
      <x:c r="G105" s="92" t="str">
        <x:f>IF(E105="","",MAX(E105,F105)/MIN(E105,F105))</x:f>
      </x:c>
      <x:c r="H105" s="92" t="str">
        <x:f>IF(A105&lt;'拟合与方案'!$C$15,"",SQRT('拟合与方案'!$F$15^2+('拟合与方案'!$G$15*(A105-'拟合与方案'!$H$15))^2))</x:f>
      </x:c>
      <x:c r="I105" s="92" t="n">
        <x:f>C105</x:f>
        <x:v>2815.832899687927</x:v>
      </x:c>
      <x:c r="J105" s="92" t="str">
        <x:f>IF(H105="","",MAX(H105,I105)/MIN(H105,I105))</x:f>
      </x:c>
    </x:row>
    <x:row r="106" ht="15" hidden="0" customHeight="1">
      <x:c r="A106" s="92" t="n">
        <x:v>172</x:v>
      </x:c>
      <x:c r="B106" s="92" t="n">
        <x:f>SQRT('拟合与方案'!$B$7^2+('拟合与方案'!$C$7*(A106-'拟合与方案'!$D$7))^2)</x:f>
        <x:v>2639.228637847439</x:v>
      </x:c>
      <x:c r="C106" s="92" t="n">
        <x:f>SQRT('拟合与方案'!$B$8^2+('拟合与方案'!$C$8*(A106-'拟合与方案'!$D$8))^2)</x:f>
        <x:v>2794.513500457898</x:v>
      </x:c>
      <x:c r="D106" s="92" t="n">
        <x:f>MAX(B106,C106)/MIN(B106,C106)</x:f>
        <x:v>1.0588372149284913</x:v>
      </x:c>
      <x:c r="E106" s="92" t="str">
        <x:f>IF(A106&lt;'拟合与方案'!$C$13,"",SQRT('拟合与方案'!$F$13^2+('拟合与方案'!$G$13*(A106-'拟合与方案'!$H$13))^2))</x:f>
      </x:c>
      <x:c r="F106" s="92" t="n">
        <x:f>C106</x:f>
        <x:v>2794.513500457898</x:v>
      </x:c>
      <x:c r="G106" s="92" t="str">
        <x:f>IF(E106="","",MAX(E106,F106)/MIN(E106,F106))</x:f>
      </x:c>
      <x:c r="H106" s="92" t="str">
        <x:f>IF(A106&lt;'拟合与方案'!$C$15,"",SQRT('拟合与方案'!$F$15^2+('拟合与方案'!$G$15*(A106-'拟合与方案'!$H$15))^2))</x:f>
      </x:c>
      <x:c r="I106" s="92" t="n">
        <x:f>C106</x:f>
        <x:v>2794.513500457898</x:v>
      </x:c>
      <x:c r="J106" s="92" t="str">
        <x:f>IF(H106="","",MAX(H106,I106)/MIN(H106,I106))</x:f>
      </x:c>
    </x:row>
    <x:row r="107" ht="15" hidden="0" customHeight="1">
      <x:c r="A107" s="92" t="n">
        <x:v>172.5</x:v>
      </x:c>
      <x:c r="B107" s="92" t="n">
        <x:f>SQRT('拟合与方案'!$B$7^2+('拟合与方案'!$C$7*(A107-'拟合与方案'!$D$7))^2)</x:f>
        <x:v>2620.659704803024</x:v>
      </x:c>
      <x:c r="C107" s="92" t="n">
        <x:f>SQRT('拟合与方案'!$B$8^2+('拟合与方案'!$C$8*(A107-'拟合与方案'!$D$8))^2)</x:f>
        <x:v>2773.1998183817404</x:v>
      </x:c>
      <x:c r="D107" s="92" t="n">
        <x:f>MAX(B107,C107)/MIN(B107,C107)</x:f>
        <x:v>1.0582067611827464</x:v>
      </x:c>
      <x:c r="E107" s="92" t="str">
        <x:f>IF(A107&lt;'拟合与方案'!$C$13,"",SQRT('拟合与方案'!$F$13^2+('拟合与方案'!$G$13*(A107-'拟合与方案'!$H$13))^2))</x:f>
      </x:c>
      <x:c r="F107" s="92" t="n">
        <x:f>C107</x:f>
        <x:v>2773.1998183817404</x:v>
      </x:c>
      <x:c r="G107" s="92" t="str">
        <x:f>IF(E107="","",MAX(E107,F107)/MIN(E107,F107))</x:f>
      </x:c>
      <x:c r="H107" s="92" t="str">
        <x:f>IF(A107&lt;'拟合与方案'!$C$15,"",SQRT('拟合与方案'!$F$15^2+('拟合与方案'!$G$15*(A107-'拟合与方案'!$H$15))^2))</x:f>
      </x:c>
      <x:c r="I107" s="92" t="n">
        <x:f>C107</x:f>
        <x:v>2773.1998183817404</x:v>
      </x:c>
      <x:c r="J107" s="92" t="str">
        <x:f>IF(H107="","",MAX(H107,I107)/MIN(H107,I107))</x:f>
      </x:c>
    </x:row>
    <x:row r="108" ht="15" hidden="0" customHeight="1">
      <x:c r="A108" s="92" t="n">
        <x:v>173</x:v>
      </x:c>
      <x:c r="B108" s="92" t="n">
        <x:f>SQRT('拟合与方案'!$B$7^2+('拟合与方案'!$C$7*(A108-'拟合与方案'!$D$7))^2)</x:f>
        <x:v>2602.1079617830937</x:v>
      </x:c>
      <x:c r="C108" s="92" t="n">
        <x:f>SQRT('拟合与方案'!$B$8^2+('拟合与方案'!$C$8*(A108-'拟合与方案'!$D$8))^2)</x:f>
        <x:v>2751.891986299266</x:v>
      </x:c>
      <x:c r="D108" s="92" t="n">
        <x:f>MAX(B108,C108)/MIN(B108,C108)</x:f>
        <x:v>1.0575625710831509</x:v>
      </x:c>
      <x:c r="E108" s="92" t="str">
        <x:f>IF(A108&lt;'拟合与方案'!$C$13,"",SQRT('拟合与方案'!$F$13^2+('拟合与方案'!$G$13*(A108-'拟合与方案'!$H$13))^2))</x:f>
      </x:c>
      <x:c r="F108" s="92" t="n">
        <x:f>C108</x:f>
        <x:v>2751.891986299266</x:v>
      </x:c>
      <x:c r="G108" s="92" t="str">
        <x:f>IF(E108="","",MAX(E108,F108)/MIN(E108,F108))</x:f>
      </x:c>
      <x:c r="H108" s="92" t="str">
        <x:f>IF(A108&lt;'拟合与方案'!$C$15,"",SQRT('拟合与方案'!$F$15^2+('拟合与方案'!$G$15*(A108-'拟合与方案'!$H$15))^2))</x:f>
      </x:c>
      <x:c r="I108" s="92" t="n">
        <x:f>C108</x:f>
        <x:v>2751.891986299266</x:v>
      </x:c>
      <x:c r="J108" s="92" t="str">
        <x:f>IF(H108="","",MAX(H108,I108)/MIN(H108,I108))</x:f>
      </x:c>
    </x:row>
    <x:row r="109" ht="15" hidden="0" customHeight="1">
      <x:c r="A109" s="92" t="n">
        <x:v>173.5</x:v>
      </x:c>
      <x:c r="B109" s="92" t="n">
        <x:f>SQRT('拟合与方案'!$B$7^2+('拟合与方案'!$C$7*(A109-'拟合与方案'!$D$7))^2)</x:f>
        <x:v>2583.5737790944027</x:v>
      </x:c>
      <x:c r="C109" s="92" t="n">
        <x:f>SQRT('拟合与方案'!$B$8^2+('拟合与方案'!$C$8*(A109-'拟合与方案'!$D$8))^2)</x:f>
        <x:v>2730.5901411596456</x:v>
      </x:c>
      <x:c r="D109" s="92" t="n">
        <x:f>MAX(B109,C109)/MIN(B109,C109)</x:f>
        <x:v>1.0569042631005394</x:v>
      </x:c>
      <x:c r="E109" s="92" t="str">
        <x:f>IF(A109&lt;'拟合与方案'!$C$13,"",SQRT('拟合与方案'!$F$13^2+('拟合与方案'!$G$13*(A109-'拟合与方案'!$H$13))^2))</x:f>
      </x:c>
      <x:c r="F109" s="92" t="n">
        <x:f>C109</x:f>
        <x:v>2730.5901411596456</x:v>
      </x:c>
      <x:c r="G109" s="92" t="str">
        <x:f>IF(E109="","",MAX(E109,F109)/MIN(E109,F109))</x:f>
      </x:c>
      <x:c r="H109" s="92" t="str">
        <x:f>IF(A109&lt;'拟合与方案'!$C$15,"",SQRT('拟合与方案'!$F$15^2+('拟合与方案'!$G$15*(A109-'拟合与方案'!$H$15))^2))</x:f>
      </x:c>
      <x:c r="I109" s="92" t="n">
        <x:f>C109</x:f>
        <x:v>2730.5901411596456</x:v>
      </x:c>
      <x:c r="J109" s="92" t="str">
        <x:f>IF(H109="","",MAX(H109,I109)/MIN(H109,I109))</x:f>
      </x:c>
    </x:row>
    <x:row r="110" ht="15" hidden="0" customHeight="1">
      <x:c r="A110" s="92" t="n">
        <x:v>174</x:v>
      </x:c>
      <x:c r="B110" s="92" t="n">
        <x:f>SQRT('拟合与方案'!$B$7^2+('拟合与方案'!$C$7*(A110-'拟合与方案'!$D$7))^2)</x:f>
        <x:v>2565.0575373908814</x:v>
      </x:c>
      <x:c r="C110" s="92" t="n">
        <x:f>SQRT('拟合与方案'!$B$8^2+('拟合与方案'!$C$8*(A110-'拟合与方案'!$D$8))^2)</x:f>
        <x:v>2709.294424180015</x:v>
      </x:c>
      <x:c r="D110" s="92" t="n">
        <x:f>MAX(B110,C110)/MIN(B110,C110)</x:f>
        <x:v>1.056231443032599</x:v>
      </x:c>
      <x:c r="E110" s="92" t="str">
        <x:f>IF(A110&lt;'拟合与方案'!$C$13,"",SQRT('拟合与方案'!$F$13^2+('拟合与方案'!$G$13*(A110-'拟合与方案'!$H$13))^2))</x:f>
      </x:c>
      <x:c r="F110" s="92" t="n">
        <x:f>C110</x:f>
        <x:v>2709.294424180015</x:v>
      </x:c>
      <x:c r="G110" s="92" t="str">
        <x:f>IF(E110="","",MAX(E110,F110)/MIN(E110,F110))</x:f>
      </x:c>
      <x:c r="H110" s="92" t="str">
        <x:f>IF(A110&lt;'拟合与方案'!$C$15,"",SQRT('拟合与方案'!$F$15^2+('拟合与方案'!$G$15*(A110-'拟合与方案'!$H$15))^2))</x:f>
      </x:c>
      <x:c r="I110" s="92" t="n">
        <x:f>C110</x:f>
        <x:v>2709.294424180015</x:v>
      </x:c>
      <x:c r="J110" s="92" t="str">
        <x:f>IF(H110="","",MAX(H110,I110)/MIN(H110,I110))</x:f>
      </x:c>
    </x:row>
    <x:row r="111" ht="15" hidden="0" customHeight="1">
      <x:c r="A111" s="92" t="n">
        <x:v>174.5</x:v>
      </x:c>
      <x:c r="B111" s="92" t="n">
        <x:f>SQRT('拟合与方案'!$B$7^2+('拟合与方案'!$C$7*(A111-'拟合与方案'!$D$7))^2)</x:f>
        <x:v>2546.5596280236377</x:v>
      </x:c>
      <x:c r="C111" s="92" t="n">
        <x:f>SQRT('拟合与方案'!$B$8^2+('拟合与方案'!$C$8*(A111-'拟合与方案'!$D$8))^2)</x:f>
        <x:v>2688.0049810114047</x:v>
      </x:c>
      <x:c r="D111" s="92" t="n">
        <x:f>MAX(B111,C111)/MIN(B111,C111)</x:f>
        <x:v>1.0555437035250343</x:v>
      </x:c>
      <x:c r="E111" s="92" t="str">
        <x:f>IF(A111&lt;'拟合与方案'!$C$13,"",SQRT('拟合与方案'!$F$13^2+('拟合与方案'!$G$13*(A111-'拟合与方案'!$H$13))^2))</x:f>
      </x:c>
      <x:c r="F111" s="92" t="n">
        <x:f>C111</x:f>
        <x:v>2688.0049810114047</x:v>
      </x:c>
      <x:c r="G111" s="92" t="str">
        <x:f>IF(E111="","",MAX(E111,F111)/MIN(E111,F111))</x:f>
      </x:c>
      <x:c r="H111" s="92" t="str">
        <x:f>IF(A111&lt;'拟合与方案'!$C$15,"",SQRT('拟合与方案'!$F$15^2+('拟合与方案'!$G$15*(A111-'拟合与方案'!$H$15))^2))</x:f>
      </x:c>
      <x:c r="I111" s="92" t="n">
        <x:f>C111</x:f>
        <x:v>2688.0049810114047</x:v>
      </x:c>
      <x:c r="J111" s="92" t="str">
        <x:f>IF(H111="","",MAX(H111,I111)/MIN(H111,I111))</x:f>
      </x:c>
    </x:row>
    <x:row r="112" ht="15" hidden="0" customHeight="1">
      <x:c r="A112" s="92" t="n">
        <x:v>175</x:v>
      </x:c>
      <x:c r="B112" s="92" t="n">
        <x:f>SQRT('拟合与方案'!$B$7^2+('拟合与方案'!$C$7*(A112-'拟合与方案'!$D$7))^2)</x:f>
        <x:v>2528.080453404613</x:v>
      </x:c>
      <x:c r="C112" s="92" t="n">
        <x:f>SQRT('拟合与方案'!$B$8^2+('拟合与方案'!$C$8*(A112-'拟合与方案'!$D$8))^2)</x:f>
        <x:v>2666.7219619123885</x:v>
      </x:c>
      <x:c r="D112" s="92" t="n">
        <x:f>MAX(B112,C112)/MIN(B112,C112)</x:f>
        <x:v>1.05484062357314</x:v>
      </x:c>
      <x:c r="E112" s="92" t="str">
        <x:f>IF(A112&lt;'拟合与方案'!$C$13,"",SQRT('拟合与方案'!$F$13^2+('拟合与方案'!$G$13*(A112-'拟合与方案'!$H$13))^2))</x:f>
      </x:c>
      <x:c r="F112" s="92" t="n">
        <x:f>C112</x:f>
        <x:v>2666.7219619123885</x:v>
      </x:c>
      <x:c r="G112" s="92" t="str">
        <x:f>IF(E112="","",MAX(E112,F112)/MIN(E112,F112))</x:f>
      </x:c>
      <x:c r="H112" s="92" t="str">
        <x:f>IF(A112&lt;'拟合与方案'!$C$15,"",SQRT('拟合与方案'!$F$15^2+('拟合与方案'!$G$15*(A112-'拟合与方案'!$H$15))^2))</x:f>
      </x:c>
      <x:c r="I112" s="92" t="n">
        <x:f>C112</x:f>
        <x:v>2666.7219619123885</x:v>
      </x:c>
      <x:c r="J112" s="92" t="str">
        <x:f>IF(H112="","",MAX(H112,I112)/MIN(H112,I112))</x:f>
      </x:c>
    </x:row>
    <x:row r="113" ht="15" hidden="0" customHeight="1">
      <x:c r="A113" s="92" t="n">
        <x:v>175.5</x:v>
      </x:c>
      <x:c r="B113" s="92" t="n">
        <x:f>SQRT('拟合与方案'!$B$7^2+('拟合与方案'!$C$7*(A113-'拟合与方案'!$D$7))^2)</x:f>
        <x:v>2509.620427384495</x:v>
      </x:c>
      <x:c r="C113" s="92" t="n">
        <x:f>SQRT('拟合与方案'!$B$8^2+('拟合与方案'!$C$8*(A113-'拟合与方案'!$D$8))^2)</x:f>
        <x:v>2645.445521930877</x:v>
      </x:c>
      <x:c r="D113" s="92" t="n">
        <x:f>MAX(B113,C113)/MIN(B113,C113)</x:f>
        <x:v>1.0541217680029555</x:v>
      </x:c>
      <x:c r="E113" s="92" t="str">
        <x:f>IF(A113&lt;'拟合与方案'!$C$13,"",SQRT('拟合与方案'!$F$13^2+('拟合与方案'!$G$13*(A113-'拟合与方案'!$H$13))^2))</x:f>
      </x:c>
      <x:c r="F113" s="92" t="n">
        <x:f>C113</x:f>
        <x:v>2645.445521930877</x:v>
      </x:c>
      <x:c r="G113" s="92" t="str">
        <x:f>IF(E113="","",MAX(E113,F113)/MIN(E113,F113))</x:f>
      </x:c>
      <x:c r="H113" s="92" t="str">
        <x:f>IF(A113&lt;'拟合与方案'!$C$15,"",SQRT('拟合与方案'!$F$15^2+('拟合与方案'!$G$15*(A113-'拟合与方案'!$H$15))^2))</x:f>
      </x:c>
      <x:c r="I113" s="92" t="n">
        <x:f>C113</x:f>
        <x:v>2645.445521930877</x:v>
      </x:c>
      <x:c r="J113" s="92" t="str">
        <x:f>IF(H113="","",MAX(H113,I113)/MIN(H113,I113))</x:f>
      </x:c>
    </x:row>
    <x:row r="114" ht="15" hidden="0" customHeight="1">
      <x:c r="A114" s="92" t="n">
        <x:v>176</x:v>
      </x:c>
      <x:c r="B114" s="92" t="n">
        <x:f>SQRT('拟合与方案'!$B$7^2+('拟合与方案'!$C$7*(A114-'拟合与方案'!$D$7))^2)</x:f>
        <x:v>2491.1799756454907</x:v>
      </x:c>
      <x:c r="C114" s="92" t="n">
        <x:f>SQRT('拟合与方案'!$B$8^2+('拟合与方案'!$C$8*(A114-'拟合与方案'!$D$8))^2)</x:f>
        <x:v>2624.175821094488</x:v>
      </x:c>
      <x:c r="D114" s="92" t="n">
        <x:f>MAX(B114,C114)/MIN(B114,C114)</x:f>
        <x:v>1.0533866869311748</x:v>
      </x:c>
      <x:c r="E114" s="92" t="str">
        <x:f>IF(A114&lt;'拟合与方案'!$C$13,"",SQRT('拟合与方案'!$F$13^2+('拟合与方案'!$G$13*(A114-'拟合与方案'!$H$13))^2))</x:f>
      </x:c>
      <x:c r="F114" s="92" t="n">
        <x:f>C114</x:f>
        <x:v>2624.175821094488</x:v>
      </x:c>
      <x:c r="G114" s="92" t="str">
        <x:f>IF(E114="","",MAX(E114,F114)/MIN(E114,F114))</x:f>
      </x:c>
      <x:c r="H114" s="92" t="str">
        <x:f>IF(A114&lt;'拟合与方案'!$C$15,"",SQRT('拟合与方案'!$F$15^2+('拟合与方案'!$G$15*(A114-'拟合与方案'!$H$15))^2))</x:f>
      </x:c>
      <x:c r="I114" s="92" t="n">
        <x:f>C114</x:f>
        <x:v>2624.175821094488</x:v>
      </x:c>
      <x:c r="J114" s="92" t="str">
        <x:f>IF(H114="","",MAX(H114,I114)/MIN(H114,I114))</x:f>
      </x:c>
    </x:row>
    <x:row r="115" ht="15" hidden="0" customHeight="1">
      <x:c r="A115" s="92" t="n">
        <x:v>176.5</x:v>
      </x:c>
      <x:c r="B115" s="92" t="n">
        <x:f>SQRT('拟合与方案'!$B$7^2+('拟合与方案'!$C$7*(A115-'拟合与方案'!$D$7))^2)</x:f>
        <x:v>2472.759536109622</x:v>
      </x:c>
      <x:c r="C115" s="92" t="n">
        <x:f>SQRT('拟合与方案'!$B$8^2+('拟合与方案'!$C$8*(A115-'拟合与方案'!$D$8))^2)</x:f>
        <x:v>2602.9130246099794</x:v>
      </x:c>
      <x:c r="D115" s="92" t="n">
        <x:f>MAX(B115,C115)/MIN(B115,C115)</x:f>
        <x:v>1.0526349152029264</x:v>
      </x:c>
      <x:c r="E115" s="92" t="str">
        <x:f>IF(A115&lt;'拟合与方案'!$C$13,"",SQRT('拟合与方案'!$F$13^2+('拟合与方案'!$G$13*(A115-'拟合与方案'!$H$13))^2))</x:f>
      </x:c>
      <x:c r="F115" s="92" t="n">
        <x:f>C115</x:f>
        <x:v>2602.9130246099794</x:v>
      </x:c>
      <x:c r="G115" s="92" t="str">
        <x:f>IF(E115="","",MAX(E115,F115)/MIN(E115,F115))</x:f>
      </x:c>
      <x:c r="H115" s="92" t="str">
        <x:f>IF(A115&lt;'拟合与方案'!$C$15,"",SQRT('拟合与方案'!$F$15^2+('拟合与方案'!$G$15*(A115-'拟合与方案'!$H$15))^2))</x:f>
      </x:c>
      <x:c r="I115" s="92" t="n">
        <x:f>C115</x:f>
        <x:v>2602.9130246099794</x:v>
      </x:c>
      <x:c r="J115" s="92" t="str">
        <x:f>IF(H115="","",MAX(H115,I115)/MIN(H115,I115))</x:f>
      </x:c>
    </x:row>
    <x:row r="116" ht="15" hidden="0" customHeight="1">
      <x:c r="A116" s="92" t="n">
        <x:v>177</x:v>
      </x:c>
      <x:c r="B116" s="92" t="n">
        <x:f>SQRT('拟合与方案'!$B$7^2+('拟合与方案'!$C$7*(A116-'拟合与方案'!$D$7))^2)</x:f>
        <x:v>2454.3595593632062</x:v>
      </x:c>
      <x:c r="C116" s="92" t="n">
        <x:f>SQRT('拟合与方案'!$B$8^2+('拟合与方案'!$C$8*(A116-'拟合与方案'!$D$8))^2)</x:f>
        <x:v>2581.6573030722225</x:v>
      </x:c>
      <x:c r="D116" s="92" t="n">
        <x:f>MAX(B116,C116)/MIN(B116,C116)</x:f>
        <x:v>1.0518659718065286</x:v>
      </x:c>
      <x:c r="E116" s="92" t="str">
        <x:f>IF(A116&lt;'拟合与方案'!$C$13,"",SQRT('拟合与方案'!$F$13^2+('拟合与方案'!$G$13*(A116-'拟合与方案'!$H$13))^2))</x:f>
      </x:c>
      <x:c r="F116" s="92" t="n">
        <x:f>C116</x:f>
        <x:v>2581.6573030722225</x:v>
      </x:c>
      <x:c r="G116" s="92" t="str">
        <x:f>IF(E116="","",MAX(E116,F116)/MIN(E116,F116))</x:f>
      </x:c>
      <x:c r="H116" s="92" t="str">
        <x:f>IF(A116&lt;'拟合与方案'!$C$15,"",SQRT('拟合与方案'!$F$15^2+('拟合与方案'!$G$15*(A116-'拟合与方案'!$H$15))^2))</x:f>
      </x:c>
      <x:c r="I116" s="92" t="n">
        <x:f>C116</x:f>
        <x:v>2581.6573030722225</x:v>
      </x:c>
      <x:c r="J116" s="92" t="str">
        <x:f>IF(H116="","",MAX(H116,I116)/MIN(H116,I116))</x:f>
      </x:c>
    </x:row>
    <x:row r="117" ht="15" hidden="0" customHeight="1">
      <x:c r="A117" s="92" t="n">
        <x:v>177.5</x:v>
      </x:c>
      <x:c r="B117" s="92" t="n">
        <x:f>SQRT('拟合与方案'!$B$7^2+('拟合与方案'!$C$7*(A117-'拟合与方案'!$D$7))^2)</x:f>
        <x:v>2435.9805090982363</x:v>
      </x:c>
      <x:c r="C117" s="92" t="n">
        <x:f>SQRT('拟合与方案'!$B$8^2+('拟合与方案'!$C$8*(A117-'拟合与方案'!$D$8))^2)</x:f>
        <x:v>2560.4088326832784</x:v>
      </x:c>
      <x:c r="D117" s="92" t="n">
        <x:f>MAX(B117,C117)/MIN(B117,C117)</x:f>
        <x:v>1.0510793592642922</x:v>
      </x:c>
      <x:c r="E117" s="92" t="str">
        <x:f>IF(A117&lt;'拟合与方案'!$C$13,"",SQRT('拟合与方案'!$F$13^2+('拟合与方案'!$G$13*(A117-'拟合与方案'!$H$13))^2))</x:f>
      </x:c>
      <x:c r="F117" s="92" t="n">
        <x:f>C117</x:f>
        <x:v>2560.4088326832784</x:v>
      </x:c>
      <x:c r="G117" s="92" t="str">
        <x:f>IF(E117="","",MAX(E117,F117)/MIN(E117,F117))</x:f>
      </x:c>
      <x:c r="H117" s="92" t="str">
        <x:f>IF(A117&lt;'拟合与方案'!$C$15,"",SQRT('拟合与方案'!$F$15^2+('拟合与方案'!$G$15*(A117-'拟合与方案'!$H$15))^2))</x:f>
      </x:c>
      <x:c r="I117" s="92" t="n">
        <x:f>C117</x:f>
        <x:v>2560.4088326832784</x:v>
      </x:c>
      <x:c r="J117" s="92" t="str">
        <x:f>IF(H117="","",MAX(H117,I117)/MIN(H117,I117))</x:f>
      </x:c>
    </x:row>
    <x:row r="118" ht="15" hidden="0" customHeight="1">
      <x:c r="A118" s="92" t="n">
        <x:v>178</x:v>
      </x:c>
      <x:c r="B118" s="92" t="n">
        <x:f>SQRT('拟合与方案'!$B$7^2+('拟合与方案'!$C$7*(A118-'拟合与方案'!$D$7))^2)</x:f>
        <x:v>2417.6228625713993</x:v>
      </x:c>
      <x:c r="C118" s="92" t="n">
        <x:f>SQRT('拟合与方案'!$B$8^2+('拟合与方案'!$C$8*(A118-'拟合与方案'!$D$8))^2)</x:f>
        <x:v>2539.1677954821116</x:v>
      </x:c>
      <x:c r="D118" s="92" t="n">
        <x:f>MAX(B118,C118)/MIN(B118,C118)</x:f>
        <x:v>1.0502745629983976</x:v>
      </x:c>
      <x:c r="E118" s="92" t="str">
        <x:f>IF(A118&lt;'拟合与方案'!$C$13,"",SQRT('拟合与方案'!$F$13^2+('拟合与方案'!$G$13*(A118-'拟合与方案'!$H$13))^2))</x:f>
      </x:c>
      <x:c r="F118" s="92" t="n">
        <x:f>C118</x:f>
        <x:v>2539.1677954821116</x:v>
      </x:c>
      <x:c r="G118" s="92" t="str">
        <x:f>IF(E118="","",MAX(E118,F118)/MIN(E118,F118))</x:f>
      </x:c>
      <x:c r="H118" s="92" t="str">
        <x:f>IF(A118&lt;'拟合与方案'!$C$15,"",SQRT('拟合与方案'!$F$15^2+('拟合与方案'!$G$15*(A118-'拟合与方案'!$H$15))^2))</x:f>
      </x:c>
      <x:c r="I118" s="92" t="n">
        <x:f>C118</x:f>
        <x:v>2539.1677954821116</x:v>
      </x:c>
      <x:c r="J118" s="92" t="str">
        <x:f>IF(H118="","",MAX(H118,I118)/MIN(H118,I118))</x:f>
      </x:c>
    </x:row>
    <x:row r="119" ht="15" hidden="0" customHeight="1">
      <x:c r="A119" s="92" t="n">
        <x:v>178.5</x:v>
      </x:c>
      <x:c r="B119" s="92" t="n">
        <x:f>SQRT('拟合与方案'!$B$7^2+('拟合与方案'!$C$7*(A119-'拟合与方案'!$D$7))^2)</x:f>
        <x:v>2399.2871110815036</x:v>
      </x:c>
      <x:c r="C119" s="92" t="n">
        <x:f>SQRT('拟合与方案'!$B$8^2+('拟合与方案'!$C$8*(A119-'拟合与方案'!$D$8))^2)</x:f>
        <x:v>2517.9343795855684</x:v>
      </x:c>
      <x:c r="D119" s="92" t="n">
        <x:f>MAX(B119,C119)/MIN(B119,C119)</x:f>
        <x:v>1.0494510506708734</x:v>
      </x:c>
      <x:c r="E119" s="92" t="str">
        <x:f>IF(A119&lt;'拟合与方案'!$C$13,"",SQRT('拟合与方案'!$F$13^2+('拟合与方案'!$G$13*(A119-'拟合与方案'!$H$13))^2))</x:f>
      </x:c>
      <x:c r="F119" s="92" t="n">
        <x:f>C119</x:f>
        <x:v>2517.9343795855684</x:v>
      </x:c>
      <x:c r="G119" s="92" t="str">
        <x:f>IF(E119="","",MAX(E119,F119)/MIN(E119,F119))</x:f>
      </x:c>
      <x:c r="H119" s="92" t="str">
        <x:f>IF(A119&lt;'拟合与方案'!$C$15,"",SQRT('拟合与方案'!$F$15^2+('拟合与方案'!$G$15*(A119-'拟合与方案'!$H$15))^2))</x:f>
      </x:c>
      <x:c r="I119" s="92" t="n">
        <x:f>C119</x:f>
        <x:v>2517.9343795855684</x:v>
      </x:c>
      <x:c r="J119" s="92" t="str">
        <x:f>IF(H119="","",MAX(H119,I119)/MIN(H119,I119))</x:f>
      </x:c>
    </x:row>
    <x:row r="120" ht="15" hidden="0" customHeight="1">
      <x:c r="A120" s="92" t="n">
        <x:v>179</x:v>
      </x:c>
      <x:c r="B120" s="92" t="n">
        <x:f>SQRT('拟合与方案'!$B$7^2+('拟合与方案'!$C$7*(A120-'拟合与方案'!$D$7))^2)</x:f>
        <x:v>2380.9737604661245</x:v>
      </x:c>
      <x:c r="C120" s="92" t="n">
        <x:f>SQRT('拟合与方案'!$B$8^2+('拟合与方案'!$C$8*(A120-'拟合与方案'!$D$8))^2)</x:f>
        <x:v>2496.70877944124</x:v>
      </x:c>
      <x:c r="D120" s="92" t="n">
        <x:f>MAX(B120,C120)/MIN(B120,C120)</x:f>
        <x:v>1.048608271496641</x:v>
      </x:c>
      <x:c r="E120" s="92" t="str">
        <x:f>IF(A120&lt;'拟合与方案'!$C$13,"",SQRT('拟合与方案'!$F$13^2+('拟合与方案'!$G$13*(A120-'拟合与方案'!$H$13))^2))</x:f>
      </x:c>
      <x:c r="F120" s="92" t="n">
        <x:f>C120</x:f>
        <x:v>2496.70877944124</x:v>
      </x:c>
      <x:c r="G120" s="92" t="str">
        <x:f>IF(E120="","",MAX(E120,F120)/MIN(E120,F120))</x:f>
      </x:c>
      <x:c r="H120" s="92" t="str">
        <x:f>IF(A120&lt;'拟合与方案'!$C$15,"",SQRT('拟合与方案'!$F$15^2+('拟合与方案'!$G$15*(A120-'拟合与方案'!$H$15))^2))</x:f>
      </x:c>
      <x:c r="I120" s="92" t="n">
        <x:f>C120</x:f>
        <x:v>2496.70877944124</x:v>
      </x:c>
      <x:c r="J120" s="92" t="str">
        <x:f>IF(H120="","",MAX(H120,I120)/MIN(H120,I120))</x:f>
      </x:c>
    </x:row>
    <x:row r="121" ht="15" hidden="0" customHeight="1">
      <x:c r="A121" s="92" t="n">
        <x:v>179.5</x:v>
      </x:c>
      <x:c r="B121" s="92" t="n">
        <x:f>SQRT('拟合与方案'!$B$7^2+('拟合与方案'!$C$7*(A121-'拟合与方案'!$D$7))^2)</x:f>
        <x:v>2362.6833316183192</x:v>
      </x:c>
      <x:c r="C121" s="92" t="n">
        <x:f>SQRT('拟合与方案'!$B$8^2+('拟合与方案'!$C$8*(A121-'拟合与方案'!$D$8))^2)</x:f>
        <x:v>2475.4911960929103</x:v>
      </x:c>
      <x:c r="D121" s="92" t="n">
        <x:f>MAX(B121,C121)/MIN(B121,C121)</x:f>
        <x:v>1.0477456555285907</x:v>
      </x:c>
      <x:c r="E121" s="92" t="str">
        <x:f>IF(A121&lt;'拟合与方案'!$C$13,"",SQRT('拟合与方案'!$F$13^2+('拟合与方案'!$G$13*(A121-'拟合与方案'!$H$13))^2))</x:f>
      </x:c>
      <x:c r="F121" s="92" t="n">
        <x:f>C121</x:f>
        <x:v>2475.4911960929103</x:v>
      </x:c>
      <x:c r="G121" s="92" t="str">
        <x:f>IF(E121="","",MAX(E121,F121)/MIN(E121,F121))</x:f>
      </x:c>
      <x:c r="H121" s="92" t="str">
        <x:f>IF(A121&lt;'拟合与方案'!$C$15,"",SQRT('拟合与方案'!$F$15^2+('拟合与方案'!$G$15*(A121-'拟合与方案'!$H$15))^2))</x:f>
      </x:c>
      <x:c r="I121" s="92" t="n">
        <x:f>C121</x:f>
        <x:v>2475.4911960929103</x:v>
      </x:c>
      <x:c r="J121" s="92" t="str">
        <x:f>IF(H121="","",MAX(H121,I121)/MIN(H121,I121))</x:f>
      </x:c>
    </x:row>
    <x:row r="122" ht="15" hidden="0" customHeight="1">
      <x:c r="A122" s="92" t="n">
        <x:v>180</x:v>
      </x:c>
      <x:c r="B122" s="92" t="n">
        <x:f>SQRT('拟合与方案'!$B$7^2+('拟合与方案'!$C$7*(A122-'拟合与方案'!$D$7))^2)</x:f>
        <x:v>2344.4163610242867</x:v>
      </x:c>
      <x:c r="C122" s="92" t="n">
        <x:f>SQRT('拟合与方案'!$B$8^2+('拟合与方案'!$C$8*(A122-'拟合与方案'!$D$8))^2)</x:f>
        <x:v>2454.2818374592966</x:v>
      </x:c>
      <x:c r="D122" s="92" t="n">
        <x:f>MAX(B122,C122)/MIN(B122,C122)</x:f>
        <x:v>1.0468626129136076</x:v>
      </x:c>
      <x:c r="E122" s="92" t="str">
        <x:f>IF(A122&lt;'拟合与方案'!$C$13,"",SQRT('拟合与方案'!$F$13^2+('拟合与方案'!$G$13*(A122-'拟合与方案'!$H$13))^2))</x:f>
      </x:c>
      <x:c r="F122" s="92" t="n">
        <x:f>C122</x:f>
        <x:v>2454.2818374592966</x:v>
      </x:c>
      <x:c r="G122" s="92" t="str">
        <x:f>IF(E122="","",MAX(E122,F122)/MIN(E122,F122))</x:f>
      </x:c>
      <x:c r="H122" s="92" t="str">
        <x:f>IF(A122&lt;'拟合与方案'!$C$15,"",SQRT('拟合与方案'!$F$15^2+('拟合与方案'!$G$15*(A122-'拟合与方案'!$H$15))^2))</x:f>
      </x:c>
      <x:c r="I122" s="92" t="n">
        <x:f>C122</x:f>
        <x:v>2454.2818374592966</x:v>
      </x:c>
      <x:c r="J122" s="92" t="str">
        <x:f>IF(H122="","",MAX(H122,I122)/MIN(H122,I122))</x:f>
      </x:c>
    </x:row>
    <x:row r="123" ht="15" hidden="0" customHeight="1">
      <x:c r="A123" s="92" t="n">
        <x:v>180.5</x:v>
      </x:c>
      <x:c r="B123" s="92" t="n">
        <x:f>SQRT('拟合与方案'!$B$7^2+('拟合与方案'!$C$7*(A123-'拟合与方案'!$D$7))^2)</x:f>
        <x:v>2326.1734013228997</x:v>
      </x:c>
      <x:c r="C123" s="92" t="n">
        <x:f>SQRT('拟合与方案'!$B$8^2+('拟合与方案'!$C$8*(A123-'拟合与方案'!$D$8))^2)</x:f>
        <x:v>2433.0809186268734</x:v>
      </x:c>
      <x:c r="D123" s="92" t="n">
        <x:f>MAX(B123,C123)/MIN(B123,C123)</x:f>
        <x:v>1.0459585331184575</x:v>
      </x:c>
      <x:c r="E123" s="92" t="str">
        <x:f>IF(A123&lt;'拟合与方案'!$C$13,"",SQRT('拟合与方案'!$F$13^2+('拟合与方案'!$G$13*(A123-'拟合与方案'!$H$13))^2))</x:f>
      </x:c>
      <x:c r="F123" s="92" t="n">
        <x:f>C123</x:f>
        <x:v>2433.0809186268734</x:v>
      </x:c>
      <x:c r="G123" s="92" t="str">
        <x:f>IF(E123="","",MAX(E123,F123)/MIN(E123,F123))</x:f>
      </x:c>
      <x:c r="H123" s="92" t="str">
        <x:f>IF(A123&lt;'拟合与方案'!$C$15,"",SQRT('拟合与方案'!$F$15^2+('拟合与方案'!$G$15*(A123-'拟合与方案'!$H$15))^2))</x:f>
      </x:c>
      <x:c r="I123" s="92" t="n">
        <x:f>C123</x:f>
        <x:v>2433.0809186268734</x:v>
      </x:c>
      <x:c r="J123" s="92" t="str">
        <x:f>IF(H123="","",MAX(H123,I123)/MIN(H123,I123))</x:f>
      </x:c>
    </x:row>
    <x:row r="124" ht="15" hidden="0" customHeight="1">
      <x:c r="A124" s="92" t="n">
        <x:v>181</x:v>
      </x:c>
      <x:c r="B124" s="92" t="n">
        <x:f>SQRT('拟合与方案'!$B$7^2+('拟合与方案'!$C$7*(A124-'拟合与方案'!$D$7))^2)</x:f>
        <x:v>2307.955021888081</x:v>
      </x:c>
      <x:c r="C124" s="92" t="n">
        <x:f>SQRT('拟合与方案'!$B$8^2+('拟合与方案'!$C$8*(A124-'拟合与方案'!$D$8))^2)</x:f>
        <x:v>2411.888662157591</x:v>
      </x:c>
      <x:c r="D124" s="92" t="n">
        <x:f>MAX(B124,C124)/MIN(B124,C124)</x:f>
        <x:v>1.0450327841243998</x:v>
      </x:c>
      <x:c r="E124" s="92" t="str">
        <x:f>IF(A124&lt;'拟合与方案'!$C$13,"",SQRT('拟合与方案'!$F$13^2+('拟合与方案'!$G$13*(A124-'拟合与方案'!$H$13))^2))</x:f>
      </x:c>
      <x:c r="F124" s="92" t="n">
        <x:f>C124</x:f>
        <x:v>2411.888662157591</x:v>
      </x:c>
      <x:c r="G124" s="92" t="str">
        <x:f>IF(E124="","",MAX(E124,F124)/MIN(E124,F124))</x:f>
      </x:c>
      <x:c r="H124" s="92" t="str">
        <x:f>IF(A124&lt;'拟合与方案'!$C$15,"",SQRT('拟合与方案'!$F$15^2+('拟合与方案'!$G$15*(A124-'拟合与方案'!$H$15))^2))</x:f>
      </x:c>
      <x:c r="I124" s="92" t="n">
        <x:f>C124</x:f>
        <x:v>2411.888662157591</x:v>
      </x:c>
      <x:c r="J124" s="92" t="str">
        <x:f>IF(H124="","",MAX(H124,I124)/MIN(H124,I124))</x:f>
      </x:c>
    </x:row>
    <x:row r="125" ht="15" hidden="0" customHeight="1">
      <x:c r="A125" s="92" t="n">
        <x:v>181.5</x:v>
      </x:c>
      <x:c r="B125" s="92" t="n">
        <x:f>SQRT('拟合与方案'!$B$7^2+('拟合与方案'!$C$7*(A125-'拟合与方案'!$D$7))^2)</x:f>
        <x:v>2289.7618094350223</x:v>
      </x:c>
      <x:c r="C125" s="92" t="n">
        <x:f>SQRT('拟合与方案'!$B$8^2+('拟合与方案'!$C$8*(A125-'拟合与方案'!$D$8))^2)</x:f>
        <x:v>2390.7052984123766</x:v>
      </x:c>
      <x:c r="D125" s="92" t="n">
        <x:f>MAX(B125,C125)/MIN(B125,C125)</x:f>
        <x:v>1.044084711589395</x:v>
      </x:c>
      <x:c r="E125" s="92" t="str">
        <x:f>IF(A125&lt;'拟合与方案'!$C$13,"",SQRT('拟合与方案'!$F$13^2+('拟合与方案'!$G$13*(A125-'拟合与方案'!$H$13))^2))</x:f>
      </x:c>
      <x:c r="F125" s="92" t="n">
        <x:f>C125</x:f>
        <x:v>2390.7052984123766</x:v>
      </x:c>
      <x:c r="G125" s="92" t="str">
        <x:f>IF(E125="","",MAX(E125,F125)/MIN(E125,F125))</x:f>
      </x:c>
      <x:c r="H125" s="92" t="str">
        <x:f>IF(A125&lt;'拟合与方案'!$C$15,"",SQRT('拟合与方案'!$F$15^2+('拟合与方案'!$G$15*(A125-'拟合与方案'!$H$15))^2))</x:f>
      </x:c>
      <x:c r="I125" s="92" t="n">
        <x:f>C125</x:f>
        <x:v>2390.7052984123766</x:v>
      </x:c>
      <x:c r="J125" s="92" t="str">
        <x:f>IF(H125="","",MAX(H125,I125)/MIN(H125,I125))</x:f>
      </x:c>
    </x:row>
    <x:row r="126" ht="15" hidden="0" customHeight="1">
      <x:c r="A126" s="92" t="n">
        <x:v>182</x:v>
      </x:c>
      <x:c r="B126" s="92" t="n">
        <x:f>SQRT('拟合与方案'!$B$7^2+('拟合与方案'!$C$7*(A126-'拟合与方案'!$D$7))^2)</x:f>
        <x:v>2271.5943686513133</x:v>
      </x:c>
      <x:c r="C126" s="92" t="n">
        <x:f>SQRT('拟合与方案'!$B$8^2+('拟合与方案'!$C$8*(A126-'拟合与方案'!$D$8))^2)</x:f>
        <x:v>2369.531065891355</x:v>
      </x:c>
      <x:c r="D126" s="92" t="n">
        <x:f>MAX(B126,C126)/MIN(B126,C126)</x:f>
        <x:v>1.0431136379767434</x:v>
      </x:c>
      <x:c r="E126" s="92" t="str">
        <x:f>IF(A126&lt;'拟合与方案'!$C$13,"",SQRT('拟合与方案'!$F$13^2+('拟合与方案'!$G$13*(A126-'拟合与方案'!$H$13))^2))</x:f>
      </x:c>
      <x:c r="F126" s="92" t="n">
        <x:f>C126</x:f>
        <x:v>2369.531065891355</x:v>
      </x:c>
      <x:c r="G126" s="92" t="str">
        <x:f>IF(E126="","",MAX(E126,F126)/MIN(E126,F126))</x:f>
      </x:c>
      <x:c r="H126" s="92" t="str">
        <x:f>IF(A126&lt;'拟合与方案'!$C$15,"",SQRT('拟合与方案'!$F$15^2+('拟合与方案'!$G$15*(A126-'拟合与方案'!$H$15))^2))</x:f>
      </x:c>
      <x:c r="I126" s="92" t="n">
        <x:f>C126</x:f>
        <x:v>2369.531065891355</x:v>
      </x:c>
      <x:c r="J126" s="92" t="str">
        <x:f>IF(H126="","",MAX(H126,I126)/MIN(H126,I126))</x:f>
      </x:c>
    </x:row>
    <x:row r="127" ht="15" hidden="0" customHeight="1">
      <x:c r="A127" s="92" t="n">
        <x:v>182.5</x:v>
      </x:c>
      <x:c r="B127" s="92" t="n">
        <x:f>SQRT('拟合与方案'!$B$7^2+('拟合与方案'!$C$7*(A127-'拟合与方案'!$D$7))^2)</x:f>
        <x:v>2253.4533228540677</x:v>
      </x:c>
      <x:c r="C127" s="92" t="n">
        <x:f>SQRT('拟合与方案'!$B$8^2+('拟合与方案'!$C$8*(A127-'拟合与方案'!$D$8))^2)</x:f>
        <x:v>2348.3662115917878</x:v>
      </x:c>
      <x:c r="D127" s="92" t="n">
        <x:f>MAX(B127,C127)/MIN(B127,C127)</x:f>
        <x:v>1.042118861648978</x:v>
      </x:c>
      <x:c r="E127" s="92" t="str">
        <x:f>IF(A127&lt;'拟合与方案'!$C$13,"",SQRT('拟合与方案'!$F$13^2+('拟合与方案'!$G$13*(A127-'拟合与方案'!$H$13))^2))</x:f>
      </x:c>
      <x:c r="F127" s="92" t="n">
        <x:f>C127</x:f>
        <x:v>2348.3662115917878</x:v>
      </x:c>
      <x:c r="G127" s="92" t="str">
        <x:f>IF(E127="","",MAX(E127,F127)/MIN(E127,F127))</x:f>
      </x:c>
      <x:c r="H127" s="92" t="str">
        <x:f>IF(A127&lt;'拟合与方案'!$C$15,"",SQRT('拟合与方案'!$F$15^2+('拟合与方案'!$G$15*(A127-'拟合与方案'!$H$15))^2))</x:f>
      </x:c>
      <x:c r="I127" s="92" t="n">
        <x:f>C127</x:f>
        <x:v>2348.3662115917878</x:v>
      </x:c>
      <x:c r="J127" s="92" t="str">
        <x:f>IF(H127="","",MAX(H127,I127)/MIN(H127,I127))</x:f>
      </x:c>
    </x:row>
    <x:row r="128" ht="15" hidden="0" customHeight="1">
      <x:c r="A128" s="92" t="n">
        <x:v>183</x:v>
      </x:c>
      <x:c r="B128" s="92" t="n">
        <x:f>SQRT('拟合与方案'!$B$7^2+('拟合与方案'!$C$7*(A128-'拟合与方案'!$D$7))^2)</x:f>
        <x:v>2235.339314674216</x:v>
      </x:c>
      <x:c r="C128" s="92" t="n">
        <x:f>SQRT('拟合与方案'!$B$8^2+('拟合与方案'!$C$8*(A128-'拟合与方案'!$D$8))^2)</x:f>
        <x:v>2327.2109913848044</x:v>
      </x:c>
      <x:c r="D128" s="92" t="n">
        <x:f>MAX(B128,C128)/MIN(B128,C128)</x:f>
        <x:v>1.041099655925829</x:v>
      </x:c>
      <x:c r="E128" s="92" t="str">
        <x:f>IF(A128&lt;'拟合与方案'!$C$13,"",SQRT('拟合与方案'!$F$13^2+('拟合与方案'!$G$13*(A128-'拟合与方案'!$H$13))^2))</x:f>
      </x:c>
      <x:c r="F128" s="92" t="n">
        <x:f>C128</x:f>
        <x:v>2327.2109913848044</x:v>
      </x:c>
      <x:c r="G128" s="92" t="str">
        <x:f>IF(E128="","",MAX(E128,F128)/MIN(E128,F128))</x:f>
      </x:c>
      <x:c r="H128" s="92" t="str">
        <x:f>IF(A128&lt;'拟合与方案'!$C$15,"",SQRT('拟合与方案'!$F$15^2+('拟合与方案'!$G$15*(A128-'拟合与方案'!$H$15))^2))</x:f>
      </x:c>
      <x:c r="I128" s="92" t="n">
        <x:f>C128</x:f>
        <x:v>2327.2109913848044</x:v>
      </x:c>
      <x:c r="J128" s="92" t="str">
        <x:f>IF(H128="","",MAX(H128,I128)/MIN(H128,I128))</x:f>
      </x:c>
    </x:row>
    <x:row r="129" ht="15" hidden="0" customHeight="1">
      <x:c r="A129" s="92" t="n">
        <x:v>183.5</x:v>
      </x:c>
      <x:c r="B129" s="92" t="n">
        <x:f>SQRT('拟合与方案'!$B$7^2+('拟合与方案'!$C$7*(A129-'拟合与方案'!$D$7))^2)</x:f>
        <x:v>2217.253006769147</x:v>
      </x:c>
      <x:c r="C129" s="92" t="n">
        <x:f>SQRT('拟合与方案'!$B$8^2+('拟合与方案'!$C$8*(A129-'拟合与方案'!$D$8))^2)</x:f>
        <x:v>2306.065670412067</x:v>
      </x:c>
      <x:c r="D129" s="92" t="n">
        <x:f>MAX(B129,C129)/MIN(B129,C129)</x:f>
        <x:v>1.0400552681050743</x:v>
      </x:c>
      <x:c r="E129" s="92" t="str">
        <x:f>IF(A129&lt;'拟合与方案'!$C$13,"",SQRT('拟合与方案'!$F$13^2+('拟合与方案'!$G$13*(A129-'拟合与方案'!$H$13))^2))</x:f>
      </x:c>
      <x:c r="F129" s="92" t="n">
        <x:f>C129</x:f>
        <x:v>2306.065670412067</x:v>
      </x:c>
      <x:c r="G129" s="92" t="str">
        <x:f>IF(E129="","",MAX(E129,F129)/MIN(E129,F129))</x:f>
      </x:c>
      <x:c r="H129" s="92" t="str">
        <x:f>IF(A129&lt;'拟合与方案'!$C$15,"",SQRT('拟合与方案'!$F$15^2+('拟合与方案'!$G$15*(A129-'拟合与方案'!$H$15))^2))</x:f>
      </x:c>
      <x:c r="I129" s="92" t="n">
        <x:f>C129</x:f>
        <x:v>2306.065670412067</x:v>
      </x:c>
      <x:c r="J129" s="92" t="str">
        <x:f>IF(H129="","",MAX(H129,I129)/MIN(H129,I129))</x:f>
      </x:c>
    </x:row>
    <x:row r="130" ht="15" hidden="0" customHeight="1">
      <x:c r="A130" s="92" t="n">
        <x:v>184</x:v>
      </x:c>
      <x:c r="B130" s="92" t="n">
        <x:f>SQRT('拟合与方案'!$B$7^2+('拟合与方案'!$C$7*(A130-'拟合与方案'!$D$7))^2)</x:f>
        <x:v>2199.195082564965</x:v>
      </x:c>
      <x:c r="C130" s="92" t="n">
        <x:f>SQRT('拟合与方案'!$B$8^2+('拟合与方案'!$C$8*(A130-'拟合与方案'!$D$8))^2)</x:f>
        <x:v>2284.930523503593</x:v>
      </x:c>
      <x:c r="D130" s="92" t="n">
        <x:f>MAX(B130,C130)/MIN(B130,C130)</x:f>
        <x:v>1.0389849184450854</x:v>
      </x:c>
      <x:c r="E130" s="92" t="str">
        <x:f>IF(A130&lt;'拟合与方案'!$C$13,"",SQRT('拟合与方案'!$F$13^2+('拟合与方案'!$G$13*(A130-'拟合与方案'!$H$13))^2))</x:f>
      </x:c>
      <x:c r="F130" s="92" t="n">
        <x:f>C130</x:f>
        <x:v>2284.930523503593</x:v>
      </x:c>
      <x:c r="G130" s="92" t="str">
        <x:f>IF(E130="","",MAX(E130,F130)/MIN(E130,F130))</x:f>
      </x:c>
      <x:c r="H130" s="92" t="str">
        <x:f>IF(A130&lt;'拟合与方案'!$C$15,"",SQRT('拟合与方案'!$F$15^2+('拟合与方案'!$G$15*(A130-'拟合与方案'!$H$15))^2))</x:f>
      </x:c>
      <x:c r="I130" s="92" t="n">
        <x:f>C130</x:f>
        <x:v>2284.930523503593</x:v>
      </x:c>
      <x:c r="J130" s="92" t="str">
        <x:f>IF(H130="","",MAX(H130,I130)/MIN(H130,I130))</x:f>
      </x:c>
    </x:row>
    <x:row r="131" ht="15" hidden="0" customHeight="1">
      <x:c r="A131" s="92" t="n">
        <x:v>184.5</x:v>
      </x:c>
      <x:c r="B131" s="92" t="n">
        <x:f>SQRT('拟合与方案'!$B$7^2+('拟合与方案'!$C$7*(A131-'拟合与方案'!$D$7))^2)</x:f>
        <x:v>2181.1662470296706</x:v>
      </x:c>
      <x:c r="C131" s="92" t="n">
        <x:f>SQRT('拟合与方案'!$B$8^2+('拟合与方案'!$C$8*(A131-'拟合与方案'!$D$8))^2)</x:f>
        <x:v>2263.8058356180377</x:v>
      </x:c>
      <x:c r="D131" s="92" t="n">
        <x:f>MAX(B131,C131)/MIN(B131,C131)</x:f>
        <x:v>1.0378877991078885</x:v>
      </x:c>
      <x:c r="E131" s="92" t="str">
        <x:f>IF(A131&lt;'拟合与方案'!$C$13,"",SQRT('拟合与方案'!$F$13^2+('拟合与方案'!$G$13*(A131-'拟合与方案'!$H$13))^2))</x:f>
      </x:c>
      <x:c r="F131" s="92" t="n">
        <x:f>C131</x:f>
        <x:v>2263.8058356180377</x:v>
      </x:c>
      <x:c r="G131" s="92" t="str">
        <x:f>IF(E131="","",MAX(E131,F131)/MIN(E131,F131))</x:f>
      </x:c>
      <x:c r="H131" s="92" t="str">
        <x:f>IF(A131&lt;'拟合与方案'!$C$15,"",SQRT('拟合与方案'!$F$15^2+('拟合与方案'!$G$15*(A131-'拟合与方案'!$H$15))^2))</x:f>
      </x:c>
      <x:c r="I131" s="92" t="n">
        <x:f>C131</x:f>
        <x:v>2263.8058356180377</x:v>
      </x:c>
      <x:c r="J131" s="92" t="str">
        <x:f>IF(H131="","",MAX(H131,I131)/MIN(H131,I131))</x:f>
      </x:c>
    </x:row>
    <x:row r="132" ht="15" hidden="0" customHeight="1">
      <x:c r="A132" s="92" t="n">
        <x:v>185</x:v>
      </x:c>
      <x:c r="B132" s="92" t="n">
        <x:f>SQRT('拟合与方案'!$B$7^2+('拟合与方案'!$C$7*(A132-'拟合与方案'!$D$7))^2)</x:f>
        <x:v>2163.1672274786215</x:v>
      </x:c>
      <x:c r="C132" s="92" t="n">
        <x:f>SQRT('拟合与方案'!$B$8^2+('拟合与方案'!$C$8*(A132-'拟合与方案'!$D$8))^2)</x:f>
        <x:v>2242.6919023068453</x:v>
      </x:c>
      <x:c r="D132" s="92" t="n">
        <x:f>MAX(B132,C132)/MIN(B132,C132)</x:f>
        <x:v>1.0367630730615855</x:v>
      </x:c>
      <x:c r="E132" s="92" t="str">
        <x:f>IF(A132&lt;'拟合与方案'!$C$13,"",SQRT('拟合与方案'!$F$13^2+('拟合与方案'!$G$13*(A132-'拟合与方案'!$H$13))^2))</x:f>
      </x:c>
      <x:c r="F132" s="92" t="n">
        <x:f>C132</x:f>
        <x:v>2242.6919023068453</x:v>
      </x:c>
      <x:c r="G132" s="92" t="str">
        <x:f>IF(E132="","",MAX(E132,F132)/MIN(E132,F132))</x:f>
      </x:c>
      <x:c r="H132" s="92" t="str">
        <x:f>IF(A132&lt;'拟合与方案'!$C$15,"",SQRT('拟合与方案'!$F$15^2+('拟合与方案'!$G$15*(A132-'拟合与方案'!$H$15))^2))</x:f>
      </x:c>
      <x:c r="I132" s="92" t="n">
        <x:f>C132</x:f>
        <x:v>2242.6919023068453</x:v>
      </x:c>
      <x:c r="J132" s="92" t="str">
        <x:f>IF(H132="","",MAX(H132,I132)/MIN(H132,I132))</x:f>
      </x:c>
    </x:row>
    <x:row r="133" ht="15" hidden="0" customHeight="1">
      <x:c r="A133" s="92" t="n">
        <x:v>185.5</x:v>
      </x:c>
      <x:c r="B133" s="92" t="n">
        <x:f>SQRT('拟合与方案'!$B$7^2+('拟合与方案'!$C$7*(A133-'拟合与方案'!$D$7))^2)</x:f>
        <x:v>2145.198774413706</x:v>
      </x:c>
      <x:c r="C133" s="92" t="n">
        <x:f>SQRT('拟合与方案'!$B$8^2+('拟合与方案'!$C$8*(A133-'拟合与方案'!$D$8))^2)</x:f>
        <x:v>2221.5890302037515</x:v>
      </x:c>
      <x:c r="D133" s="92" t="n">
        <x:f>MAX(B133,C133)/MIN(B133,C133)</x:f>
        <x:v>1.0356098729409928</x:v>
      </x:c>
      <x:c r="E133" s="92" t="str">
        <x:f>IF(A133&lt;'拟合与方案'!$C$13,"",SQRT('拟合与方案'!$F$13^2+('拟合与方案'!$G$13*(A133-'拟合与方案'!$H$13))^2))</x:f>
      </x:c>
      <x:c r="F133" s="92" t="n">
        <x:f>C133</x:f>
        <x:v>2221.5890302037515</x:v>
      </x:c>
      <x:c r="G133" s="92" t="str">
        <x:f>IF(E133="","",MAX(E133,F133)/MIN(E133,F133))</x:f>
      </x:c>
      <x:c r="H133" s="92" t="str">
        <x:f>IF(A133&lt;'拟合与方案'!$C$15,"",SQRT('拟合与方案'!$F$15^2+('拟合与方案'!$G$15*(A133-'拟合与方案'!$H$15))^2))</x:f>
      </x:c>
      <x:c r="I133" s="92" t="n">
        <x:f>C133</x:f>
        <x:v>2221.5890302037515</x:v>
      </x:c>
      <x:c r="J133" s="92" t="str">
        <x:f>IF(H133="","",MAX(H133,I133)/MIN(H133,I133))</x:f>
      </x:c>
    </x:row>
    <x:row r="134" ht="15" hidden="0" customHeight="1">
      <x:c r="A134" s="92" t="n">
        <x:v>186</x:v>
      </x:c>
      <x:c r="B134" s="92" t="n">
        <x:f>SQRT('拟合与方案'!$B$7^2+('拟合与方案'!$C$7*(A134-'拟合与方案'!$D$7))^2)</x:f>
        <x:v>2127.2616623977083</x:v>
      </x:c>
      <x:c r="C134" s="92" t="n">
        <x:f>SQRT('拟合与方案'!$B$8^2+('拟合与方案'!$C$8*(A134-'拟合与方案'!$D$8))^2)</x:f>
        <x:v>2200.497537541255</x:v>
      </x:c>
      <x:c r="D134" s="92" t="n">
        <x:f>MAX(B134,C134)/MIN(B134,C134)</x:f>
        <x:v>1.0344272998654054</x:v>
      </x:c>
      <x:c r="E134" s="92" t="str">
        <x:f>IF(A134&lt;'拟合与方案'!$C$13,"",SQRT('拟合与方案'!$F$13^2+('拟合与方案'!$G$13*(A134-'拟合与方案'!$H$13))^2))</x:f>
      </x:c>
      <x:c r="F134" s="92" t="n">
        <x:f>C134</x:f>
        <x:v>2200.497537541255</x:v>
      </x:c>
      <x:c r="G134" s="92" t="str">
        <x:f>IF(E134="","",MAX(E134,F134)/MIN(E134,F134))</x:f>
      </x:c>
      <x:c r="H134" s="92" t="str">
        <x:f>IF(A134&lt;'拟合与方案'!$C$15,"",SQRT('拟合与方案'!$F$15^2+('拟合与方案'!$G$15*(A134-'拟合与方案'!$H$15))^2))</x:f>
      </x:c>
      <x:c r="I134" s="92" t="n">
        <x:f>C134</x:f>
        <x:v>2200.497537541255</x:v>
      </x:c>
      <x:c r="J134" s="92" t="str">
        <x:f>IF(H134="","",MAX(H134,I134)/MIN(H134,I134))</x:f>
      </x:c>
    </x:row>
    <x:row r="135" ht="15" hidden="0" customHeight="1">
      <x:c r="A135" s="92" t="n">
        <x:v>186.5</x:v>
      </x:c>
      <x:c r="B135" s="92" t="n">
        <x:f>SQRT('拟合与方案'!$B$7^2+('拟合与方案'!$C$7*(A135-'拟合与方案'!$D$7))^2)</x:f>
        <x:v>2109.356690965406</x:v>
      </x:c>
      <x:c r="C135" s="92" t="n">
        <x:f>SQRT('拟合与方案'!$B$8^2+('拟合与方案'!$C$8*(A135-'拟合与方案'!$D$8))^2)</x:f>
        <x:v>2179.417754695768</x:v>
      </x:c>
      <x:c r="D135" s="92" t="n">
        <x:f>MAX(B135,C135)/MIN(B135,C135)</x:f>
        <x:v>1.0332144222124409</x:v>
      </x:c>
      <x:c r="E135" s="92" t="str">
        <x:f>IF(A135&lt;'拟合与方案'!$C$13,"",SQRT('拟合与方案'!$F$13^2+('拟合与方案'!$G$13*(A135-'拟合与方案'!$H$13))^2))</x:f>
      </x:c>
      <x:c r="F135" s="92" t="n">
        <x:f>C135</x:f>
        <x:v>2179.417754695768</x:v>
      </x:c>
      <x:c r="G135" s="92" t="str">
        <x:f>IF(E135="","",MAX(E135,F135)/MIN(E135,F135))</x:f>
      </x:c>
      <x:c r="H135" s="92" t="str">
        <x:f>IF(A135&lt;'拟合与方案'!$C$15,"",SQRT('拟合与方案'!$F$15^2+('拟合与方案'!$G$15*(A135-'拟合与方案'!$H$15))^2))</x:f>
      </x:c>
      <x:c r="I135" s="92" t="n">
        <x:f>C135</x:f>
        <x:v>2179.417754695768</x:v>
      </x:c>
      <x:c r="J135" s="92" t="str">
        <x:f>IF(H135="","",MAX(H135,I135)/MIN(H135,I135))</x:f>
      </x:c>
    </x:row>
    <x:row r="136" ht="15" hidden="0" customHeight="1">
      <x:c r="A136" s="92" t="n">
        <x:v>187</x:v>
      </x:c>
      <x:c r="B136" s="92" t="n">
        <x:f>SQRT('拟合与方案'!$B$7^2+('拟合与方案'!$C$7*(A136-'拟合与方案'!$D$7))^2)</x:f>
        <x:v>2091.484685573018</x:v>
      </x:c>
      <x:c r="C136" s="92" t="n">
        <x:f>SQRT('拟合与方案'!$B$8^2+('拟合与方案'!$C$8*(A136-'拟合与方案'!$D$8))^2)</x:f>
        <x:v>2158.350024763289</x:v>
      </x:c>
      <x:c r="D136" s="92" t="n">
        <x:f>MAX(B136,C136)/MIN(B136,C136)</x:f>
        <x:v>1.0319702743469774</x:v>
      </x:c>
      <x:c r="E136" s="92" t="str">
        <x:f>IF(A136&lt;'拟合与方案'!$C$13,"",SQRT('拟合与方案'!$F$13^2+('拟合与方案'!$G$13*(A136-'拟合与方案'!$H$13))^2))</x:f>
      </x:c>
      <x:c r="F136" s="92" t="n">
        <x:f>C136</x:f>
        <x:v>2158.350024763289</x:v>
      </x:c>
      <x:c r="G136" s="92" t="str">
        <x:f>IF(E136="","",MAX(E136,F136)/MIN(E136,F136))</x:f>
      </x:c>
      <x:c r="H136" s="92" t="str">
        <x:f>IF(A136&lt;'拟合与方案'!$C$15,"",SQRT('拟合与方案'!$F$15^2+('拟合与方案'!$G$15*(A136-'拟合与方案'!$H$15))^2))</x:f>
      </x:c>
      <x:c r="I136" s="92" t="n">
        <x:f>C136</x:f>
        <x:v>2158.350024763289</x:v>
      </x:c>
      <x:c r="J136" s="92" t="str">
        <x:f>IF(H136="","",MAX(H136,I136)/MIN(H136,I136))</x:f>
      </x:c>
    </x:row>
    <x:row r="137" ht="15" hidden="0" customHeight="1">
      <x:c r="A137" s="92" t="n">
        <x:v>187.5</x:v>
      </x:c>
      <x:c r="B137" s="92" t="n">
        <x:f>SQRT('拟合与方案'!$B$7^2+('拟合与方案'!$C$7*(A137-'拟合与方案'!$D$7))^2)</x:f>
        <x:v>2073.646498587664</x:v>
      </x:c>
      <x:c r="C137" s="92" t="n">
        <x:f>SQRT('拟合与方案'!$B$8^2+('拟合与方案'!$C$8*(A137-'拟合与方案'!$D$8))^2)</x:f>
        <x:v>2137.294704167578</x:v>
      </x:c>
      <x:c r="D137" s="92" t="n">
        <x:f>MAX(B137,C137)/MIN(B137,C137)</x:f>
        <x:v>1.030693855304298</x:v>
      </x:c>
      <x:c r="E137" s="92" t="str">
        <x:f>IF(A137&lt;'拟合与方案'!$C$13,"",SQRT('拟合与方案'!$F$13^2+('拟合与方案'!$G$13*(A137-'拟合与方案'!$H$13))^2))</x:f>
      </x:c>
      <x:c r="F137" s="92" t="n">
        <x:f>C137</x:f>
        <x:v>2137.294704167578</x:v>
      </x:c>
      <x:c r="G137" s="92" t="str">
        <x:f>IF(E137="","",MAX(E137,F137)/MIN(E137,F137))</x:f>
      </x:c>
      <x:c r="H137" s="92" t="str">
        <x:f>IF(A137&lt;'拟合与方案'!$C$15,"",SQRT('拟合与方案'!$F$15^2+('拟合与方案'!$G$15*(A137-'拟合与方案'!$H$15))^2))</x:f>
      </x:c>
      <x:c r="I137" s="92" t="n">
        <x:f>C137</x:f>
        <x:v>2137.294704167578</x:v>
      </x:c>
      <x:c r="J137" s="92" t="str">
        <x:f>IF(H137="","",MAX(H137,I137)/MIN(H137,I137))</x:f>
      </x:c>
    </x:row>
    <x:row r="138" ht="15" hidden="0" customHeight="1">
      <x:c r="A138" s="92" t="n">
        <x:v>188</x:v>
      </x:c>
      <x:c r="B138" s="92" t="n">
        <x:f>SQRT('拟合与方案'!$B$7^2+('拟合与方案'!$C$7*(A138-'拟合与方案'!$D$7))^2)</x:f>
        <x:v>2055.843010318581</x:v>
      </x:c>
      <x:c r="C138" s="92" t="n">
        <x:f>SQRT('拟合与方案'!$B$8^2+('拟合与方案'!$C$8*(A138-'拟合与方案'!$D$8))^2)</x:f>
        <x:v>2116.2521633029446</x:v>
      </x:c>
      <x:c r="D138" s="92" t="n">
        <x:f>MAX(B138,C138)/MIN(B138,C138)</x:f>
        <x:v>1.0293841274266378</x:v>
      </x:c>
      <x:c r="E138" s="92" t="str">
        <x:f>IF(A138&lt;'拟合与方案'!$C$13,"",SQRT('拟合与方案'!$F$13^2+('拟合与方案'!$G$13*(A138-'拟合与方案'!$H$13))^2))</x:f>
      </x:c>
      <x:c r="F138" s="92" t="n">
        <x:f>C138</x:f>
        <x:v>2116.2521633029446</x:v>
      </x:c>
      <x:c r="G138" s="92" t="str">
        <x:f>IF(E138="","",MAX(E138,F138)/MIN(E138,F138))</x:f>
      </x:c>
      <x:c r="H138" s="92" t="str">
        <x:f>IF(A138&lt;'拟合与方案'!$C$15,"",SQRT('拟合与方案'!$F$15^2+('拟合与方案'!$G$15*(A138-'拟合与方案'!$H$15))^2))</x:f>
      </x:c>
      <x:c r="I138" s="92" t="n">
        <x:f>C138</x:f>
        <x:v>2116.2521633029446</x:v>
      </x:c>
      <x:c r="J138" s="92" t="str">
        <x:f>IF(H138="","",MAX(H138,I138)/MIN(H138,I138))</x:f>
      </x:c>
    </x:row>
    <x:row r="139" ht="15" hidden="0" customHeight="1">
      <x:c r="A139" s="92" t="n">
        <x:v>188.5</x:v>
      </x:c>
      <x:c r="B139" s="92" t="n">
        <x:f>SQRT('拟合与方案'!$B$7^2+('拟合与方案'!$C$7*(A139-'拟合与方案'!$D$7))^2)</x:f>
        <x:v>2038.075130091902</x:v>
      </x:c>
      <x:c r="C139" s="92" t="n">
        <x:f>SQRT('拟合与方案'!$B$8^2+('拟合与方案'!$C$8*(A139-'拟合与方案'!$D$8))^2)</x:f>
        <x:v>2095.2227872139383</x:v>
      </x:c>
      <x:c r="D139" s="92" t="n">
        <x:f>MAX(B139,C139)/MIN(B139,C139)</x:f>
        <x:v>1.028040014952471</x:v>
      </x:c>
      <x:c r="E139" s="92" t="str">
        <x:f>IF(A139&lt;'拟合与方案'!$C$13,"",SQRT('拟合与方案'!$F$13^2+('拟合与方案'!$G$13*(A139-'拟合与方案'!$H$13))^2))</x:f>
      </x:c>
      <x:c r="F139" s="92" t="n">
        <x:f>C139</x:f>
        <x:v>2095.2227872139383</x:v>
      </x:c>
      <x:c r="G139" s="92" t="str">
        <x:f>IF(E139="","",MAX(E139,F139)/MIN(E139,F139))</x:f>
      </x:c>
      <x:c r="H139" s="92" t="str">
        <x:f>IF(A139&lt;'拟合与方案'!$C$15,"",SQRT('拟合与方案'!$F$15^2+('拟合与方案'!$G$15*(A139-'拟合与方案'!$H$15))^2))</x:f>
      </x:c>
      <x:c r="I139" s="92" t="n">
        <x:f>C139</x:f>
        <x:v>2095.2227872139383</x:v>
      </x:c>
      <x:c r="J139" s="92" t="str">
        <x:f>IF(H139="","",MAX(H139,I139)/MIN(H139,I139))</x:f>
      </x:c>
    </x:row>
    <x:row r="140" ht="15" hidden="0" customHeight="1">
      <x:c r="A140" s="92" t="n">
        <x:v>189</x:v>
      </x:c>
      <x:c r="B140" s="92" t="n">
        <x:f>SQRT('拟合与方案'!$B$7^2+('拟合与方案'!$C$7*(A140-'拟合与方案'!$D$7))^2)</x:f>
        <x:v>2020.343797370872</x:v>
      </x:c>
      <x:c r="C140" s="92" t="n">
        <x:f>SQRT('拟合与方案'!$B$8^2+('拟合与方案'!$C$8*(A140-'拟合与方案'!$D$8))^2)</x:f>
        <x:v>2074.206976314377</x:v>
      </x:c>
      <x:c r="D140" s="92" t="n">
        <x:f>MAX(B140,C140)/MIN(B140,C140)</x:f>
        <x:v>1.0266604025580193</x:v>
      </x:c>
      <x:c r="E140" s="92" t="str">
        <x:f>IF(A140&lt;'拟合与方案'!$C$13,"",SQRT('拟合与方案'!$F$13^2+('拟合与方案'!$G$13*(A140-'拟合与方案'!$H$13))^2))</x:f>
      </x:c>
      <x:c r="F140" s="92" t="n">
        <x:f>C140</x:f>
        <x:v>2074.206976314377</x:v>
      </x:c>
      <x:c r="G140" s="92" t="str">
        <x:f>IF(E140="","",MAX(E140,F140)/MIN(E140,F140))</x:f>
      </x:c>
      <x:c r="H140" s="92" t="str">
        <x:f>IF(A140&lt;'拟合与方案'!$C$15,"",SQRT('拟合与方案'!$F$15^2+('拟合与方案'!$G$15*(A140-'拟合与方案'!$H$15))^2))</x:f>
      </x:c>
      <x:c r="I140" s="92" t="n">
        <x:f>C140</x:f>
        <x:v>2074.206976314377</x:v>
      </x:c>
      <x:c r="J140" s="92" t="str">
        <x:f>IF(H140="","",MAX(H140,I140)/MIN(H140,I140))</x:f>
      </x:c>
    </x:row>
    <x:row r="141" ht="15" hidden="0" customHeight="1">
      <x:c r="A141" s="92" t="n">
        <x:v>189.5</x:v>
      </x:c>
      <x:c r="B141" s="92" t="n">
        <x:f>SQRT('拟合与方案'!$B$7^2+('拟合与方案'!$C$7*(A141-'拟合与方案'!$D$7))^2)</x:f>
        <x:v>2002.6499829234415</x:v>
      </x:c>
      <x:c r="C141" s="92" t="n">
        <x:f>SQRT('拟合与方案'!$B$8^2+('拟合与方案'!$C$8*(A141-'拟合与方案'!$D$8))^2)</x:f>
        <x:v>2053.205147148343</x:v>
      </x:c>
      <x:c r="D141" s="92" t="n">
        <x:f>MAX(B141,C141)/MIN(B141,C141)</x:f>
        <x:v>1.02524413385064</x:v>
      </x:c>
      <x:c r="E141" s="92" t="str">
        <x:f>IF(A141&lt;'拟合与方案'!$C$13,"",SQRT('拟合与方案'!$F$13^2+('拟合与方案'!$G$13*(A141-'拟合与方案'!$H$13))^2))</x:f>
      </x:c>
      <x:c r="F141" s="92" t="n">
        <x:f>C141</x:f>
        <x:v>2053.205147148343</x:v>
      </x:c>
      <x:c r="G141" s="92" t="str">
        <x:f>IF(E141="","",MAX(E141,F141)/MIN(E141,F141))</x:f>
      </x:c>
      <x:c r="H141" s="92" t="str">
        <x:f>IF(A141&lt;'拟合与方案'!$C$15,"",SQRT('拟合与方案'!$F$15^2+('拟合与方案'!$G$15*(A141-'拟合与方案'!$H$15))^2))</x:f>
      </x:c>
      <x:c r="I141" s="92" t="n">
        <x:f>C141</x:f>
        <x:v>2053.205147148343</x:v>
      </x:c>
      <x:c r="J141" s="92" t="str">
        <x:f>IF(H141="","",MAX(H141,I141)/MIN(H141,I141))</x:f>
      </x:c>
    </x:row>
    <x:row r="142" ht="15" hidden="0" customHeight="1">
      <x:c r="A142" s="92" t="n">
        <x:v>190</x:v>
      </x:c>
      <x:c r="B142" s="92" t="n">
        <x:f>SQRT('拟合与方案'!$B$7^2+('拟合与方案'!$C$7*(A142-'拟合与方案'!$D$7))^2)</x:f>
        <x:v>1984.994690039255</x:v>
      </x:c>
      <x:c r="C142" s="92" t="n">
        <x:f>SQRT('拟合与方案'!$B$8^2+('拟合与方案'!$C$8*(A142-'拟合与方案'!$D$8))^2)</x:f>
        <x:v>2032.2177331959786</x:v>
      </x:c>
      <x:c r="D142" s="92" t="n">
        <x:f>MAX(B142,C142)/MIN(B142,C142)</x:f>
        <x:v>1.0237900098139758</x:v>
      </x:c>
      <x:c r="E142" s="92" t="str">
        <x:f>IF(A142&lt;'拟合与方案'!$C$13,"",SQRT('拟合与方案'!$F$13^2+('拟合与方案'!$G$13*(A142-'拟合与方案'!$H$13))^2))</x:f>
      </x:c>
      <x:c r="F142" s="92" t="n">
        <x:f>C142</x:f>
        <x:v>2032.2177331959786</x:v>
      </x:c>
      <x:c r="G142" s="92" t="str">
        <x:f>IF(E142="","",MAX(E142,F142)/MIN(E142,F142))</x:f>
      </x:c>
      <x:c r="H142" s="92" t="str">
        <x:f>IF(A142&lt;'拟合与方案'!$C$15,"",SQRT('拟合与方案'!$F$15^2+('拟合与方案'!$G$15*(A142-'拟合与方案'!$H$15))^2))</x:f>
      </x:c>
      <x:c r="I142" s="92" t="n">
        <x:f>C142</x:f>
        <x:v>2032.2177331959786</x:v>
      </x:c>
      <x:c r="J142" s="92" t="str">
        <x:f>IF(H142="","",MAX(H142,I142)/MIN(H142,I142))</x:f>
      </x:c>
    </x:row>
    <x:row r="143" ht="15" hidden="0" customHeight="1">
      <x:c r="A143" s="92" t="n">
        <x:v>190.5</x:v>
      </x:c>
      <x:c r="B143" s="92" t="n">
        <x:f>SQRT('拟合与方案'!$B$7^2+('拟合与方案'!$C$7*(A143-'拟合与方案'!$D$7))^2)</x:f>
        <x:v>1967.378955798117</x:v>
      </x:c>
      <x:c r="C143" s="92" t="n">
        <x:f>SQRT('拟合与方案'!$B$8^2+('拟合与方案'!$C$8*(A143-'拟合与方案'!$D$8))^2)</x:f>
        <x:v>2011.2451857271128</x:v>
      </x:c>
      <x:c r="D143" s="92" t="n">
        <x:f>MAX(B143,C143)/MIN(B143,C143)</x:f>
        <x:v>1.0222967872049848</x:v>
      </x:c>
      <x:c r="E143" s="92" t="str">
        <x:f>IF(A143&lt;'拟合与方案'!$C$13,"",SQRT('拟合与方案'!$F$13^2+('拟合与方案'!$G$13*(A143-'拟合与方案'!$H$13))^2))</x:f>
      </x:c>
      <x:c r="F143" s="92" t="n">
        <x:f>C143</x:f>
        <x:v>2011.2451857271128</x:v>
      </x:c>
      <x:c r="G143" s="92" t="str">
        <x:f>IF(E143="","",MAX(E143,F143)/MIN(E143,F143))</x:f>
      </x:c>
      <x:c r="H143" s="92" t="str">
        <x:f>IF(A143&lt;'拟合与方案'!$C$15,"",SQRT('拟合与方案'!$F$15^2+('拟合与方案'!$G$15*(A143-'拟合与方案'!$H$15))^2))</x:f>
      </x:c>
      <x:c r="I143" s="92" t="n">
        <x:f>C143</x:f>
        <x:v>2011.2451857271128</x:v>
      </x:c>
      <x:c r="J143" s="92" t="str">
        <x:f>IF(H143="","",MAX(H143,I143)/MIN(H143,I143))</x:f>
      </x:c>
    </x:row>
    <x:row r="144" ht="15" hidden="0" customHeight="1">
      <x:c r="A144" s="92" t="n">
        <x:v>191</x:v>
      </x:c>
      <x:c r="B144" s="92" t="n">
        <x:f>SQRT('拟合与方案'!$B$7^2+('拟合与方案'!$C$7*(A144-'拟合与方案'!$D$7))^2)</x:f>
        <x:v>1949.803852392084</x:v>
      </x:c>
      <x:c r="C144" s="92" t="n">
        <x:f>SQRT('拟合与方案'!$B$8^2+('拟合与方案'!$C$8*(A144-'拟合与方案'!$D$8))^2)</x:f>
        <x:v>1990.2879747059994</x:v>
      </x:c>
      <x:c r="D144" s="92" t="n">
        <x:f>MAX(B144,C144)/MIN(B144,C144)</x:f>
        <x:v>1.0207631769032808</x:v>
      </x:c>
      <x:c r="E144" s="92" t="str">
        <x:f>IF(A144&lt;'拟合与方案'!$C$13,"",SQRT('拟合与方案'!$F$13^2+('拟合与方案'!$G$13*(A144-'拟合与方案'!$H$13))^2))</x:f>
      </x:c>
      <x:c r="F144" s="92" t="n">
        <x:f>C144</x:f>
        <x:v>1990.2879747059994</x:v>
      </x:c>
      <x:c r="G144" s="92" t="str">
        <x:f>IF(E144="","",MAX(E144,F144)/MIN(E144,F144))</x:f>
      </x:c>
      <x:c r="H144" s="92" t="str">
        <x:f>IF(A144&lt;'拟合与方案'!$C$15,"",SQRT('拟合与方案'!$F$15^2+('拟合与方案'!$G$15*(A144-'拟合与方案'!$H$15))^2))</x:f>
      </x:c>
      <x:c r="I144" s="92" t="n">
        <x:f>C144</x:f>
        <x:v>1990.2879747059994</x:v>
      </x:c>
      <x:c r="J144" s="92" t="str">
        <x:f>IF(H144="","",MAX(H144,I144)/MIN(H144,I144))</x:f>
      </x:c>
    </x:row>
    <x:row r="145" ht="15" hidden="0" customHeight="1">
      <x:c r="A145" s="92" t="n">
        <x:v>191.5</x:v>
      </x:c>
      <x:c r="B145" s="92" t="n">
        <x:f>SQRT('拟合与方案'!$B$7^2+('拟合与方案'!$C$7*(A145-'拟合与方案'!$D$7))^2)</x:f>
        <x:v>1932.2704885034107</x:v>
      </x:c>
      <x:c r="C145" s="92" t="n">
        <x:f>SQRT('拟合与方案'!$B$8^2+('拟合与方案'!$C$8*(A145-'拟合与方案'!$D$8))^2)</x:f>
        <x:v>1969.3465897506876</x:v>
      </x:c>
      <x:c r="D145" s="92" t="n">
        <x:f>MAX(B145,C145)/MIN(B145,C145)</x:f>
        <x:v>1.0191878422135368</x:v>
      </x:c>
      <x:c r="E145" s="92" t="str">
        <x:f>IF(A145&lt;'拟合与方案'!$C$13,"",SQRT('拟合与方案'!$F$13^2+('拟合与方案'!$G$13*(A145-'拟合与方案'!$H$13))^2))</x:f>
      </x:c>
      <x:c r="F145" s="92" t="n">
        <x:f>C145</x:f>
        <x:v>1969.3465897506876</x:v>
      </x:c>
      <x:c r="G145" s="92" t="str">
        <x:f>IF(E145="","",MAX(E145,F145)/MIN(E145,F145))</x:f>
      </x:c>
      <x:c r="H145" s="92" t="str">
        <x:f>IF(A145&lt;'拟合与方案'!$C$15,"",SQRT('拟合与方案'!$F$15^2+('拟合与方案'!$G$15*(A145-'拟合与方案'!$H$15))^2))</x:f>
      </x:c>
      <x:c r="I145" s="92" t="n">
        <x:f>C145</x:f>
        <x:v>1969.3465897506876</x:v>
      </x:c>
      <x:c r="J145" s="92" t="str">
        <x:f>IF(H145="","",MAX(H145,I145)/MIN(H145,I145))</x:f>
      </x:c>
    </x:row>
    <x:row r="146" ht="15" hidden="0" customHeight="1">
      <x:c r="A146" s="92" t="n">
        <x:v>192</x:v>
      </x:c>
      <x:c r="B146" s="92" t="n">
        <x:f>SQRT('拟合与方案'!$B$7^2+('拟合与方案'!$C$7*(A146-'拟合与方案'!$D$7))^2)</x:f>
        <x:v>1914.7800107406279</x:v>
      </x:c>
      <x:c r="C146" s="92" t="n">
        <x:f>SQRT('拟合与方案'!$B$8^2+('拟合与方案'!$C$8*(A146-'拟合与方案'!$D$8))^2)</x:f>
        <x:v>1948.421541150824</x:v>
      </x:c>
      <x:c r="D146" s="92" t="n">
        <x:f>MAX(B146,C146)/MIN(B146,C146)</x:f>
        <x:v>1.0175693971221182</x:v>
      </x:c>
      <x:c r="E146" s="92" t="str">
        <x:f>IF(A146&lt;'拟合与方案'!$C$13,"",SQRT('拟合与方案'!$F$13^2+('拟合与方案'!$G$13*(A146-'拟合与方案'!$H$13))^2))</x:f>
      </x:c>
      <x:c r="F146" s="92" t="n">
        <x:f>C146</x:f>
        <x:v>1948.421541150824</x:v>
      </x:c>
      <x:c r="G146" s="92" t="str">
        <x:f>IF(E146="","",MAX(E146,F146)/MIN(E146,F146))</x:f>
      </x:c>
      <x:c r="H146" s="92" t="str">
        <x:f>IF(A146&lt;'拟合与方案'!$C$15,"",SQRT('拟合与方案'!$F$15^2+('拟合与方案'!$G$15*(A146-'拟合与方案'!$H$15))^2))</x:f>
      </x:c>
      <x:c r="I146" s="92" t="n">
        <x:f>C146</x:f>
        <x:v>1948.421541150824</x:v>
      </x:c>
      <x:c r="J146" s="92" t="str">
        <x:f>IF(H146="","",MAX(H146,I146)/MIN(H146,I146))</x:f>
      </x:c>
    </x:row>
    <x:row r="147" ht="15" hidden="0" customHeight="1">
      <x:c r="A147" s="92" t="n">
        <x:v>192.5</x:v>
      </x:c>
      <x:c r="B147" s="92" t="n">
        <x:f>SQRT('拟合与方案'!$B$7^2+('拟合与方案'!$C$7*(A147-'拟合与方案'!$D$7))^2)</x:f>
        <x:v>1897.3336051351178</x:v>
      </x:c>
      <x:c r="C147" s="92" t="n">
        <x:f>SQRT('拟合与方案'!$B$8^2+('拟合与方案'!$C$8*(A147-'拟合与方案'!$D$8))^2)</x:f>
        <x:v>1927.5133609479792</x:v>
      </x:c>
      <x:c r="D147" s="92" t="n">
        <x:f>MAX(B147,C147)/MIN(B147,C147)</x:f>
        <x:v>1.0159064045095603</x:v>
      </x:c>
      <x:c r="E147" s="92" t="str">
        <x:f>IF(A147&lt;'拟合与方案'!$C$13,"",SQRT('拟合与方案'!$F$13^2+('拟合与方案'!$G$13*(A147-'拟合与方案'!$H$13))^2))</x:f>
      </x:c>
      <x:c r="F147" s="92" t="n">
        <x:f>C147</x:f>
        <x:v>1927.5133609479792</x:v>
      </x:c>
      <x:c r="G147" s="92" t="str">
        <x:f>IF(E147="","",MAX(E147,F147)/MIN(E147,F147))</x:f>
      </x:c>
      <x:c r="H147" s="92" t="str">
        <x:f>IF(A147&lt;'拟合与方案'!$C$15,"",SQRT('拟合与方案'!$F$15^2+('拟合与方案'!$G$15*(A147-'拟合与方案'!$H$15))^2))</x:f>
      </x:c>
      <x:c r="I147" s="92" t="n">
        <x:f>C147</x:f>
        <x:v>1927.5133609479792</x:v>
      </x:c>
      <x:c r="J147" s="92" t="str">
        <x:f>IF(H147="","",MAX(H147,I147)/MIN(H147,I147))</x:f>
      </x:c>
    </x:row>
    <x:row r="148" ht="15" hidden="0" customHeight="1">
      <x:c r="A148" s="92" t="n">
        <x:v>193</x:v>
      </x:c>
      <x:c r="B148" s="92" t="n">
        <x:f>SQRT('拟合与方案'!$B$7^2+('拟合与方案'!$C$7*(A148-'拟合与方案'!$D$7))^2)</x:f>
        <x:v>1879.9324987005887</x:v>
      </x:c>
      <x:c r="C148" s="92" t="n">
        <x:f>SQRT('拟合与方案'!$B$8^2+('拟合与方案'!$C$8*(A148-'拟合与方案'!$D$8))^2)</x:f>
        <x:v>1906.622604082919</x:v>
      </x:c>
      <x:c r="D148" s="92" t="n">
        <x:f>MAX(B148,C148)/MIN(B148,C148)</x:f>
        <x:v>1.0141973743210346</x:v>
      </x:c>
      <x:c r="E148" s="92" t="str">
        <x:f>IF(A148&lt;'拟合与方案'!$C$13,"",SQRT('拟合与方案'!$F$13^2+('拟合与方案'!$G$13*(A148-'拟合与方案'!$H$13))^2))</x:f>
      </x:c>
      <x:c r="F148" s="92" t="n">
        <x:f>C148</x:f>
        <x:v>1906.622604082919</x:v>
      </x:c>
      <x:c r="G148" s="92" t="str">
        <x:f>IF(E148="","",MAX(E148,F148)/MIN(E148,F148))</x:f>
      </x:c>
      <x:c r="H148" s="92" t="str">
        <x:f>IF(A148&lt;'拟合与方案'!$C$15,"",SQRT('拟合与方案'!$F$15^2+('拟合与方案'!$G$15*(A148-'拟合与方案'!$H$15))^2))</x:f>
      </x:c>
      <x:c r="I148" s="92" t="n">
        <x:f>C148</x:f>
        <x:v>1906.622604082919</x:v>
      </x:c>
      <x:c r="J148" s="92" t="str">
        <x:f>IF(H148="","",MAX(H148,I148)/MIN(H148,I148))</x:f>
      </x:c>
    </x:row>
    <x:row r="149" ht="15" hidden="0" customHeight="1">
      <x:c r="A149" s="92" t="n">
        <x:v>193.5</x:v>
      </x:c>
      <x:c r="B149" s="92" t="n">
        <x:f>SQRT('拟合与方案'!$B$7^2+('拟合与方案'!$C$7*(A149-'拟合与方案'!$D$7))^2)</x:f>
        <x:v>1862.5779610579332</x:v>
      </x:c>
      <x:c r="C149" s="92" t="n">
        <x:f>SQRT('拟合与方案'!$B$8^2+('拟合与方案'!$C$8*(A149-'拟合与方案'!$D$8))^2)</x:f>
        <x:v>1885.7498496145827</x:v>
      </x:c>
      <x:c r="D149" s="92" t="n">
        <x:f>MAX(B149,C149)/MIN(B149,C149)</x:f>
        <x:v>1.0124407616975604</x:v>
      </x:c>
      <x:c r="E149" s="92" t="str">
        <x:f>IF(A149&lt;'拟合与方案'!$C$13,"",SQRT('拟合与方案'!$F$13^2+('拟合与方案'!$G$13*(A149-'拟合与方案'!$H$13))^2))</x:f>
      </x:c>
      <x:c r="F149" s="92" t="n">
        <x:f>C149</x:f>
        <x:v>1885.7498496145827</x:v>
      </x:c>
      <x:c r="G149" s="92" t="str">
        <x:f>IF(E149="","",MAX(E149,F149)/MIN(E149,F149))</x:f>
      </x:c>
      <x:c r="H149" s="92" t="str">
        <x:f>IF(A149&lt;'拟合与方案'!$C$15,"",SQRT('拟合与方案'!$F$15^2+('拟合与方案'!$G$15*(A149-'拟合与方案'!$H$15))^2))</x:f>
      </x:c>
      <x:c r="I149" s="92" t="n">
        <x:f>C149</x:f>
        <x:v>1885.7498496145827</x:v>
      </x:c>
      <x:c r="J149" s="92" t="str">
        <x:f>IF(H149="","",MAX(H149,I149)/MIN(H149,I149))</x:f>
      </x:c>
    </x:row>
    <x:row r="150" ht="15" hidden="0" customHeight="1">
      <x:c r="A150" s="92" t="n">
        <x:v>194</x:v>
      </x:c>
      <x:c r="B150" s="92" t="n">
        <x:f>SQRT('拟合与方案'!$B$7^2+('拟合与方案'!$C$7*(A150-'拟合与方案'!$D$7))^2)</x:f>
        <x:v>1845.2713061279878</x:v>
      </x:c>
      <x:c r="C150" s="92" t="n">
        <x:f>SQRT('拟合与方案'!$B$8^2+('拟合与方案'!$C$8*(A150-'拟合与方案'!$D$8))^2)</x:f>
        <x:v>1864.8957020159185</x:v>
      </x:c>
      <x:c r="D150" s="92" t="n">
        <x:f>MAX(B150,C150)/MIN(B150,C150)</x:f>
        <x:v>1.0106349650714015</x:v>
      </x:c>
      <x:c r="E150" s="92" t="str">
        <x:f>IF(A150&lt;'拟合与方案'!$C$13,"",SQRT('拟合与方案'!$F$13^2+('拟合与方案'!$G$13*(A150-'拟合与方案'!$H$13))^2))</x:f>
      </x:c>
      <x:c r="F150" s="92" t="n">
        <x:f>C150</x:f>
        <x:v>1864.8957020159185</x:v>
      </x:c>
      <x:c r="G150" s="92" t="str">
        <x:f>IF(E150="","",MAX(E150,F150)/MIN(E150,F150))</x:f>
      </x:c>
      <x:c r="H150" s="92" t="str">
        <x:f>IF(A150&lt;'拟合与方案'!$C$15,"",SQRT('拟合与方案'!$F$15^2+('拟合与方案'!$G$15*(A150-'拟合与方案'!$H$15))^2))</x:f>
      </x:c>
      <x:c r="I150" s="92" t="n">
        <x:f>C150</x:f>
        <x:v>1864.8957020159185</x:v>
      </x:c>
      <x:c r="J150" s="92" t="str">
        <x:f>IF(H150="","",MAX(H150,I150)/MIN(H150,I150))</x:f>
      </x:c>
    </x:row>
    <x:row r="151" ht="15" hidden="0" customHeight="1">
      <x:c r="A151" s="92" t="n">
        <x:v>194.5</x:v>
      </x:c>
      <x:c r="B151" s="92" t="n">
        <x:f>SQRT('拟合与方案'!$B$7^2+('拟合与方案'!$C$7*(A151-'拟合与方案'!$D$7))^2)</x:f>
        <x:v>1828.0138938947716</x:v>
      </x:c>
      <x:c r="C151" s="92" t="n">
        <x:f>SQRT('拟合与方案'!$B$8^2+('拟合与方案'!$C$8*(A151-'拟合与方案'!$D$8))^2)</x:f>
        <x:v>1844.0607925521338</x:v>
      </x:c>
      <x:c r="D151" s="92" t="n">
        <x:f>MAX(B151,C151)/MIN(B151,C151)</x:f>
        <x:v>1.0087783242298956</x:v>
      </x:c>
      <x:c r="E151" s="92" t="str">
        <x:f>IF(A151&lt;'拟合与方案'!$C$13,"",SQRT('拟合与方案'!$F$13^2+('拟合与方案'!$G$13*(A151-'拟合与方案'!$H$13))^2))</x:f>
      </x:c>
      <x:c r="F151" s="92" t="n">
        <x:f>C151</x:f>
        <x:v>1844.0607925521338</x:v>
      </x:c>
      <x:c r="G151" s="92" t="str">
        <x:f>IF(E151="","",MAX(E151,F151)/MIN(E151,F151))</x:f>
      </x:c>
      <x:c r="H151" s="92" t="str">
        <x:f>IF(A151&lt;'拟合与方案'!$C$15,"",SQRT('拟合与方案'!$F$15^2+('拟合与方案'!$G$15*(A151-'拟合与方案'!$H$15))^2))</x:f>
      </x:c>
      <x:c r="I151" s="92" t="n">
        <x:f>C151</x:f>
        <x:v>1844.0607925521338</x:v>
      </x:c>
      <x:c r="J151" s="92" t="str">
        <x:f>IF(H151="","",MAX(H151,I151)/MIN(H151,I151))</x:f>
      </x:c>
    </x:row>
    <x:row r="152" ht="15" hidden="0" customHeight="1">
      <x:c r="A152" s="92" t="n">
        <x:v>195</x:v>
      </x:c>
      <x:c r="B152" s="92" t="n">
        <x:f>SQRT('拟合与方案'!$B$7^2+('拟合与方案'!$C$7*(A152-'拟合与方案'!$D$7))^2)</x:f>
        <x:v>1810.8071322418168</x:v>
      </x:c>
      <x:c r="C152" s="92" t="n">
        <x:f>SQRT('拟合与方案'!$B$8^2+('拟合与方案'!$C$8*(A152-'拟合与方案'!$D$8))^2)</x:f>
        <x:v>1823.2457807473725</x:v>
      </x:c>
      <x:c r="D152" s="92" t="n">
        <x:f>MAX(B152,C152)/MIN(B152,C152)</x:f>
        <x:v>1.0068691183528509</x:v>
      </x:c>
      <x:c r="E152" s="92" t="str">
        <x:f>IF(A152&lt;'拟合与方案'!$C$13,"",SQRT('拟合与方案'!$F$13^2+('拟合与方案'!$G$13*(A152-'拟合与方案'!$H$13))^2))</x:f>
      </x:c>
      <x:c r="F152" s="92" t="n">
        <x:f>C152</x:f>
        <x:v>1823.2457807473725</x:v>
      </x:c>
      <x:c r="G152" s="92" t="str">
        <x:f>IF(E152="","",MAX(E152,F152)/MIN(E152,F152))</x:f>
      </x:c>
      <x:c r="H152" s="92" t="str">
        <x:f>IF(A152&lt;'拟合与方案'!$C$15,"",SQRT('拟合与方案'!$F$15^2+('拟合与方案'!$G$15*(A152-'拟合与方案'!$H$15))^2))</x:f>
      </x:c>
      <x:c r="I152" s="92" t="n">
        <x:f>C152</x:f>
        <x:v>1823.2457807473725</x:v>
      </x:c>
      <x:c r="J152" s="92" t="str">
        <x:f>IF(H152="","",MAX(H152,I152)/MIN(H152,I152))</x:f>
      </x:c>
    </x:row>
    <x:row r="153" ht="15" hidden="0" customHeight="1">
      <x:c r="A153" s="92" t="n">
        <x:v>195.5</x:v>
      </x:c>
      <x:c r="B153" s="92" t="n">
        <x:f>SQRT('拟合与方案'!$B$7^2+('拟合与方案'!$C$7*(A153-'拟合与方案'!$D$7))^2)</x:f>
        <x:v>1793.652478864235</x:v>
      </x:c>
      <x:c r="C153" s="92" t="n">
        <x:f>SQRT('拟合与方案'!$B$8^2+('拟合与方案'!$C$8*(A153-'拟合与方案'!$D$8))^2)</x:f>
        <x:v>1802.4513559463182</x:v>
      </x:c>
      <x:c r="D153" s="92" t="n">
        <x:f>MAX(B153,C153)/MIN(B153,C153)</x:f>
        <x:v>1.0049055640296913</x:v>
      </x:c>
      <x:c r="E153" s="92" t="str">
        <x:f>IF(A153&lt;'拟合与方案'!$C$13,"",SQRT('拟合与方案'!$F$13^2+('拟合与方案'!$G$13*(A153-'拟合与方案'!$H$13))^2))</x:f>
      </x:c>
      <x:c r="F153" s="92" t="n">
        <x:f>C153</x:f>
        <x:v>1802.4513559463182</x:v>
      </x:c>
      <x:c r="G153" s="92" t="str">
        <x:f>IF(E153="","",MAX(E153,F153)/MIN(E153,F153))</x:f>
      </x:c>
      <x:c r="H153" s="92" t="str">
        <x:f>IF(A153&lt;'拟合与方案'!$C$15,"",SQRT('拟合与方案'!$F$15^2+('拟合与方案'!$G$15*(A153-'拟合与方案'!$H$15))^2))</x:f>
      </x:c>
      <x:c r="I153" s="92" t="n">
        <x:f>C153</x:f>
        <x:v>1802.4513559463182</x:v>
      </x:c>
      <x:c r="J153" s="92" t="str">
        <x:f>IF(H153="","",MAX(H153,I153)/MIN(H153,I153))</x:f>
      </x:c>
    </x:row>
    <x:row r="154" ht="15" hidden="0" customHeight="1">
      <x:c r="A154" s="92" t="n">
        <x:v>196</x:v>
      </x:c>
      <x:c r="B154" s="92" t="n">
        <x:f>SQRT('拟合与方案'!$B$7^2+('拟合与方案'!$C$7*(A154-'拟合与方案'!$D$7))^2)</x:f>
        <x:v>1776.5514432591783</x:v>
      </x:c>
      <x:c r="C154" s="92" t="n">
        <x:f>SQRT('拟合与方案'!$B$8^2+('拟合与方案'!$C$8*(A154-'拟合与方案'!$D$8))^2)</x:f>
        <x:v>1781.6782389777568</x:v>
      </x:c>
      <x:c r="D154" s="92" t="n">
        <x:f>MAX(B154,C154)/MIN(B154,C154)</x:f>
        <x:v>1.0028858132636864</x:v>
      </x:c>
      <x:c r="E154" s="92" t="str">
        <x:f>IF(A154&lt;'拟合与方案'!$C$13,"",SQRT('拟合与方案'!$F$13^2+('拟合与方案'!$G$13*(A154-'拟合与方案'!$H$13))^2))</x:f>
      </x:c>
      <x:c r="F154" s="92" t="n">
        <x:f>C154</x:f>
        <x:v>1781.6782389777568</x:v>
      </x:c>
      <x:c r="G154" s="92" t="str">
        <x:f>IF(E154="","",MAX(E154,F154)/MIN(E154,F154))</x:f>
      </x:c>
      <x:c r="H154" s="92" t="str">
        <x:f>IF(A154&lt;'拟合与方案'!$C$15,"",SQRT('拟合与方案'!$F$15^2+('拟合与方案'!$G$15*(A154-'拟合与方案'!$H$15))^2))</x:f>
      </x:c>
      <x:c r="I154" s="92" t="n">
        <x:f>C154</x:f>
        <x:v>1781.6782389777568</x:v>
      </x:c>
      <x:c r="J154" s="92" t="str">
        <x:f>IF(H154="","",MAX(H154,I154)/MIN(H154,I154))</x:f>
      </x:c>
    </x:row>
    <x:row r="155" ht="15" hidden="0" customHeight="1">
      <x:c r="A155" s="92" t="n">
        <x:v>196.5</x:v>
      </x:c>
      <x:c r="B155" s="92" t="n">
        <x:f>SQRT('拟合与方案'!$B$7^2+('拟合与方案'!$C$7*(A155-'拟合与方案'!$D$7))^2)</x:f>
        <x:v>1759.5055887973747</x:v>
      </x:c>
      <x:c r="C155" s="92" t="n">
        <x:f>SQRT('拟合与方案'!$B$8^2+('拟合与方案'!$C$8*(A155-'拟合与方案'!$D$8))^2)</x:f>
        <x:v>1760.9271839277098</x:v>
      </x:c>
      <x:c r="D155" s="92" t="n">
        <x:f>MAX(B155,C155)/MIN(B155,C155)</x:f>
        <x:v>1.0008079514719284</x:v>
      </x:c>
      <x:c r="E155" s="92" t="str">
        <x:f>IF(A155&lt;'拟合与方案'!$C$13,"",SQRT('拟合与方案'!$F$13^2+('拟合与方案'!$G$13*(A155-'拟合与方案'!$H$13))^2))</x:f>
      </x:c>
      <x:c r="F155" s="92" t="n">
        <x:f>C155</x:f>
        <x:v>1760.9271839277098</x:v>
      </x:c>
      <x:c r="G155" s="92" t="str">
        <x:f>IF(E155="","",MAX(E155,F155)/MIN(E155,F155))</x:f>
      </x:c>
      <x:c r="H155" s="92" t="str">
        <x:f>IF(A155&lt;'拟合与方案'!$C$15,"",SQRT('拟合与方案'!$F$15^2+('拟合与方案'!$G$15*(A155-'拟合与方案'!$H$15))^2))</x:f>
      </x:c>
      <x:c r="I155" s="92" t="n">
        <x:f>C155</x:f>
        <x:v>1760.9271839277098</x:v>
      </x:c>
      <x:c r="J155" s="92" t="str">
        <x:f>IF(H155="","",MAX(H155,I155)/MIN(H155,I155))</x:f>
      </x:c>
    </x:row>
    <x:row r="156" ht="15" hidden="0" customHeight="1">
      <x:c r="A156" s="92" t="n">
        <x:v>197</x:v>
      </x:c>
      <x:c r="B156" s="92" t="n">
        <x:f>SQRT('拟合与方案'!$B$7^2+('拟合与方案'!$C$7*(A156-'拟合与方案'!$D$7))^2)</x:f>
        <x:v>1742.5165348783917</x:v>
      </x:c>
      <x:c r="C156" s="92" t="n">
        <x:f>SQRT('拟合与方案'!$B$8^2+('拟合与方案'!$C$8*(A156-'拟合与方案'!$D$8))^2)</x:f>
        <x:v>1740.1989800303877</x:v>
      </x:c>
      <x:c r="D156" s="92" t="n">
        <x:f>MAX(B156,C156)/MIN(B156,C156)</x:f>
        <x:v>1.001331775776563</x:v>
      </x:c>
      <x:c r="E156" s="92" t="str">
        <x:f>IF(A156&lt;'拟合与方案'!$C$13,"",SQRT('拟合与方案'!$F$13^2+('拟合与方案'!$G$13*(A156-'拟合与方案'!$H$13))^2))</x:f>
      </x:c>
      <x:c r="F156" s="92" t="n">
        <x:f>C156</x:f>
        <x:v>1740.1989800303877</x:v>
      </x:c>
      <x:c r="G156" s="92" t="str">
        <x:f>IF(E156="","",MAX(E156,F156)/MIN(E156,F156))</x:f>
      </x:c>
      <x:c r="H156" s="92" t="str">
        <x:f>IF(A156&lt;'拟合与方案'!$C$15,"",SQRT('拟合与方案'!$F$15^2+('拟合与方案'!$G$15*(A156-'拟合与方案'!$H$15))^2))</x:f>
      </x:c>
      <x:c r="I156" s="92" t="n">
        <x:f>C156</x:f>
        <x:v>1740.1989800303877</x:v>
      </x:c>
      <x:c r="J156" s="92" t="str">
        <x:f>IF(H156="","",MAX(H156,I156)/MIN(H156,I156))</x:f>
      </x:c>
    </x:row>
    <x:row r="157" ht="15" hidden="0" customHeight="1">
      <x:c r="A157" s="92" t="n">
        <x:v>197.5</x:v>
      </x:c>
      <x:c r="B157" s="92" t="n">
        <x:f>SQRT('拟合与方案'!$B$7^2+('拟合与方案'!$C$7*(A157-'拟合与方案'!$D$7))^2)</x:f>
        <x:v>1725.5859591722665</x:v>
      </x:c>
      <x:c r="C157" s="92" t="n">
        <x:f>SQRT('拟合与方案'!$B$8^2+('拟合与方案'!$C$8*(A157-'拟合与方案'!$D$8))^2)</x:f>
        <x:v>1719.4944536858977</x:v>
      </x:c>
      <x:c r="D157" s="92" t="n">
        <x:f>MAX(B157,C157)/MIN(B157,C157)</x:f>
        <x:v>1.0035426142104216</x:v>
      </x:c>
      <x:c r="E157" s="92" t="str">
        <x:f>IF(A157&lt;'拟合与方案'!$C$13,"",SQRT('拟合与方案'!$F$13^2+('拟合与方案'!$G$13*(A157-'拟合与方案'!$H$13))^2))</x:f>
      </x:c>
      <x:c r="F157" s="92" t="n">
        <x:f>C157</x:f>
        <x:v>1719.4944536858977</x:v>
      </x:c>
      <x:c r="G157" s="92" t="str">
        <x:f>IF(E157="","",MAX(E157,F157)/MIN(E157,F157))</x:f>
      </x:c>
      <x:c r="H157" s="92" t="str">
        <x:f>IF(A157&lt;'拟合与方案'!$C$15,"",SQRT('拟合与方案'!$F$15^2+('拟合与方案'!$G$15*(A157-'拟合与方案'!$H$15))^2))</x:f>
      </x:c>
      <x:c r="I157" s="92" t="n">
        <x:f>C157</x:f>
        <x:v>1719.4944536858977</x:v>
      </x:c>
      <x:c r="J157" s="92" t="str">
        <x:f>IF(H157="","",MAX(H157,I157)/MIN(H157,I157))</x:f>
      </x:c>
    </x:row>
    <x:row r="158" ht="15" hidden="0" customHeight="1">
      <x:c r="A158" s="92" t="n">
        <x:v>198</x:v>
      </x:c>
      <x:c r="B158" s="92" t="n">
        <x:f>SQRT('拟合与方案'!$B$7^2+('拟合与方案'!$C$7*(A158-'拟合与方案'!$D$7))^2)</x:f>
        <x:v>1708.7155999500962</x:v>
      </x:c>
      <x:c r="C158" s="92" t="n">
        <x:f>SQRT('拟合与方案'!$B$8^2+('拟合与方案'!$C$8*(A158-'拟合与方案'!$D$8))^2)</x:f>
        <x:v>1698.8144706143926</x:v>
      </x:c>
      <x:c r="D158" s="92" t="n">
        <x:f>MAX(B158,C158)/MIN(B158,C158)</x:f>
        <x:v>1.005828258180614</x:v>
      </x:c>
      <x:c r="E158" s="92" t="str">
        <x:f>IF(A158&lt;'拟合与方案'!$C$13,"",SQRT('拟合与方案'!$F$13^2+('拟合与方案'!$G$13*(A158-'拟合与方案'!$H$13))^2))</x:f>
      </x:c>
      <x:c r="F158" s="92" t="n">
        <x:f>C158</x:f>
        <x:v>1698.8144706143926</x:v>
      </x:c>
      <x:c r="G158" s="92" t="str">
        <x:f>IF(E158="","",MAX(E158,F158)/MIN(E158,F158))</x:f>
      </x:c>
      <x:c r="H158" s="92" t="str">
        <x:f>IF(A158&lt;'拟合与方案'!$C$15,"",SQRT('拟合与方案'!$F$15^2+('拟合与方案'!$G$15*(A158-'拟合与方案'!$H$15))^2))</x:f>
      </x:c>
      <x:c r="I158" s="92" t="n">
        <x:f>C158</x:f>
        <x:v>1698.8144706143926</x:v>
      </x:c>
      <x:c r="J158" s="92" t="str">
        <x:f>IF(H158="","",MAX(H158,I158)/MIN(H158,I158))</x:f>
      </x:c>
    </x:row>
    <x:row r="159" ht="15" hidden="0" customHeight="1">
      <x:c r="A159" s="92" t="n">
        <x:v>198.5</x:v>
      </x:c>
      <x:c r="B159" s="92" t="n">
        <x:f>SQRT('拟合与方案'!$B$7^2+('拟合与方案'!$C$7*(A159-'拟合与方案'!$D$7))^2)</x:f>
        <x:v>1691.9072585061028</x:v>
      </x:c>
      <x:c r="C159" s="92" t="n">
        <x:f>SQRT('拟合与方案'!$B$8^2+('拟合与方案'!$C$8*(A159-'拟合与方案'!$D$8))^2)</x:f>
        <x:v>1678.1599381571734</x:v>
      </x:c>
      <x:c r="D159" s="92" t="n">
        <x:f>MAX(B159,C159)/MIN(B159,C159)</x:f>
        <x:v>1.0081919011629044</x:v>
      </x:c>
      <x:c r="E159" s="92" t="str">
        <x:f>IF(A159&lt;'拟合与方案'!$C$13,"",SQRT('拟合与方案'!$F$13^2+('拟合与方案'!$G$13*(A159-'拟合与方案'!$H$13))^2))</x:f>
      </x:c>
      <x:c r="F159" s="92" t="n">
        <x:f>C159</x:f>
        <x:v>1678.1599381571734</x:v>
      </x:c>
      <x:c r="G159" s="92" t="str">
        <x:f>IF(E159="","",MAX(E159,F159)/MIN(E159,F159))</x:f>
      </x:c>
      <x:c r="H159" s="92" t="str">
        <x:f>IF(A159&lt;'拟合与方案'!$C$15,"",SQRT('拟合与方案'!$F$15^2+('拟合与方案'!$G$15*(A159-'拟合与方案'!$H$15))^2))</x:f>
      </x:c>
      <x:c r="I159" s="92" t="n">
        <x:f>C159</x:f>
        <x:v>1678.1599381571734</x:v>
      </x:c>
      <x:c r="J159" s="92" t="str">
        <x:f>IF(H159="","",MAX(H159,I159)/MIN(H159,I159))</x:f>
      </x:c>
    </x:row>
    <x:row r="160" ht="15" hidden="0" customHeight="1">
      <x:c r="A160" s="92" t="n">
        <x:v>199</x:v>
      </x:c>
      <x:c r="B160" s="92" t="n">
        <x:f>SQRT('拟合与方案'!$B$7^2+('拟合与方案'!$C$7*(A160-'拟合与方案'!$D$7))^2)</x:f>
        <x:v>1675.1628016735954</x:v>
      </x:c>
      <x:c r="C160" s="92" t="n">
        <x:f>SQRT('拟合与方案'!$B$8^2+('拟合与方案'!$C$8*(A160-'拟合与方案'!$D$8))^2)</x:f>
        <x:v>1657.5318077361446</x:v>
      </x:c>
      <x:c r="D160" s="92" t="n">
        <x:f>MAX(B160,C160)/MIN(B160,C160)</x:f>
        <x:v>1.010636896290715</x:v>
      </x:c>
      <x:c r="E160" s="92" t="str">
        <x:f>IF(A160&lt;'拟合与方案'!$C$13,"",SQRT('拟合与方案'!$F$13^2+('拟合与方案'!$G$13*(A160-'拟合与方案'!$H$13))^2))</x:f>
      </x:c>
      <x:c r="F160" s="92" t="n">
        <x:f>C160</x:f>
        <x:v>1657.5318077361446</x:v>
      </x:c>
      <x:c r="G160" s="92" t="str">
        <x:f>IF(E160="","",MAX(E160,F160)/MIN(E160,F160))</x:f>
      </x:c>
      <x:c r="H160" s="92" t="str">
        <x:f>IF(A160&lt;'拟合与方案'!$C$15,"",SQRT('拟合与方案'!$F$15^2+('拟合与方案'!$G$15*(A160-'拟合与方案'!$H$15))^2))</x:f>
      </x:c>
      <x:c r="I160" s="92" t="n">
        <x:f>C160</x:f>
        <x:v>1657.5318077361446</x:v>
      </x:c>
      <x:c r="J160" s="92" t="str">
        <x:f>IF(H160="","",MAX(H160,I160)/MIN(H160,I160))</x:f>
      </x:c>
    </x:row>
    <x:row r="161" ht="15" hidden="0" customHeight="1">
      <x:c r="A161" s="92" t="n">
        <x:v>199.5</x:v>
      </x:c>
      <x:c r="B161" s="92" t="n">
        <x:f>SQRT('拟合与方案'!$B$7^2+('拟合与方案'!$C$7*(A161-'拟合与方案'!$D$7))^2)</x:f>
        <x:v>1658.4841644371209</x:v>
      </x:c>
      <x:c r="C161" s="92" t="n">
        <x:f>SQRT('拟合与方案'!$B$8^2+('拟合与方案'!$C$8*(A161-'拟合与方案'!$D$8))^2)</x:f>
        <x:v>1636.931077484006</x:v>
      </x:c>
      <x:c r="D161" s="92" t="n">
        <x:f>MAX(B161,C161)/MIN(B161,C161)</x:f>
        <x:v>1.0131667650822798</x:v>
      </x:c>
      <x:c r="E161" s="92" t="str">
        <x:f>IF(A161&lt;'拟合与方案'!$C$13,"",SQRT('拟合与方案'!$F$13^2+('拟合与方案'!$G$13*(A161-'拟合与方案'!$H$13))^2))</x:f>
      </x:c>
      <x:c r="F161" s="92" t="n">
        <x:f>C161</x:f>
        <x:v>1636.931077484006</x:v>
      </x:c>
      <x:c r="G161" s="92" t="str">
        <x:f>IF(E161="","",MAX(E161,F161)/MIN(E161,F161))</x:f>
      </x:c>
      <x:c r="H161" s="92" t="str">
        <x:f>IF(A161&lt;'拟合与方案'!$C$15,"",SQRT('拟合与方案'!$F$15^2+('拟合与方案'!$G$15*(A161-'拟合与方案'!$H$15))^2))</x:f>
      </x:c>
      <x:c r="I161" s="92" t="n">
        <x:f>C161</x:f>
        <x:v>1636.931077484006</x:v>
      </x:c>
      <x:c r="J161" s="92" t="str">
        <x:f>IF(H161="","",MAX(H161,I161)/MIN(H161,I161))</x:f>
      </x:c>
    </x:row>
    <x:row r="162" ht="15" hidden="0" customHeight="1">
      <x:c r="A162" s="92" t="n">
        <x:v>200</x:v>
      </x:c>
      <x:c r="B162" s="92" t="n">
        <x:f>SQRT('拟合与方案'!$B$7^2+('拟合与方案'!$C$7*(A162-'拟合与方案'!$D$7))^2)</x:f>
        <x:v>1641.8733526429294</x:v>
      </x:c>
      <x:c r="C162" s="92" t="n">
        <x:f>SQRT('拟合与方案'!$B$8^2+('拟合与方案'!$C$8*(A162-'拟合与方案'!$D$8))^2)</x:f>
        <x:v>1616.358795058628</x:v>
      </x:c>
      <x:c r="D162" s="92" t="n">
        <x:f>MAX(B162,C162)/MIN(B162,C162)</x:f>
        <x:v>1.0157852066399502</x:v>
      </x:c>
      <x:c r="E162" s="92" t="str">
        <x:f>IF(A162&lt;'拟合与方案'!$C$13,"",SQRT('拟合与方案'!$F$13^2+('拟合与方案'!$G$13*(A162-'拟合与方案'!$H$13))^2))</x:f>
      </x:c>
      <x:c r="F162" s="92" t="n">
        <x:f>C162</x:f>
        <x:v>1616.358795058628</x:v>
      </x:c>
      <x:c r="G162" s="92" t="str">
        <x:f>IF(E162="","",MAX(E162,F162)/MIN(E162,F162))</x:f>
      </x:c>
      <x:c r="H162" s="92" t="str">
        <x:f>IF(A162&lt;'拟合与方案'!$C$15,"",SQRT('拟合与方案'!$F$15^2+('拟合与方案'!$G$15*(A162-'拟合与方案'!$H$15))^2))</x:f>
      </x:c>
      <x:c r="I162" s="92" t="n">
        <x:f>C162</x:f>
        <x:v>1616.358795058628</x:v>
      </x:c>
      <x:c r="J162" s="92" t="str">
        <x:f>IF(H162="","",MAX(H162,I162)/MIN(H162,I162))</x:f>
      </x:c>
    </x:row>
    <x:row r="163" ht="15" hidden="0" customHeight="1">
      <x:c r="A163" s="92" t="n">
        <x:v>200.5</x:v>
      </x:c>
      <x:c r="B163" s="92" t="n">
        <x:f>SQRT('拟合与方案'!$B$7^2+('拟合与方案'!$C$7*(A163-'拟合与方案'!$D$7))^2)</x:f>
        <x:v>1625.3324458096704</x:v>
      </x:c>
      <x:c r="C163" s="92" t="n">
        <x:f>SQRT('拟合与方案'!$B$8^2+('拟合与方案'!$C$8*(A163-'拟合与方案'!$D$8))^2)</x:f>
        <x:v>1595.8160606562226</x:v>
      </x:c>
      <x:c r="D163" s="92" t="n">
        <x:f>MAX(B163,C163)/MIN(B163,C163)</x:f>
        <x:v>1.01849610734041</x:v>
      </x:c>
      <x:c r="E163" s="92" t="str">
        <x:f>IF(A163&lt;'拟合与方案'!$C$13,"",SQRT('拟合与方案'!$F$13^2+('拟合与方案'!$G$13*(A163-'拟合与方案'!$H$13))^2))</x:f>
      </x:c>
      <x:c r="F163" s="92" t="n">
        <x:f>C163</x:f>
        <x:v>1595.8160606562226</x:v>
      </x:c>
      <x:c r="G163" s="92" t="str">
        <x:f>IF(E163="","",MAX(E163,F163)/MIN(E163,F163))</x:f>
      </x:c>
      <x:c r="H163" s="92" t="str">
        <x:f>IF(A163&lt;'拟合与方案'!$C$15,"",SQRT('拟合与方案'!$F$15^2+('拟合与方案'!$G$15*(A163-'拟合与方案'!$H$15))^2))</x:f>
      </x:c>
      <x:c r="I163" s="92" t="n">
        <x:f>C163</x:f>
        <x:v>1595.8160606562226</x:v>
      </x:c>
      <x:c r="J163" s="92" t="str">
        <x:f>IF(H163="","",MAX(H163,I163)/MIN(H163,I163))</x:f>
      </x:c>
    </x:row>
    <x:row r="164" ht="15" hidden="0" customHeight="1">
      <x:c r="A164" s="92" t="n">
        <x:v>201</x:v>
      </x:c>
      <x:c r="B164" s="92" t="n">
        <x:f>SQRT('拟合与方案'!$B$7^2+('拟合与方案'!$C$7*(A164-'拟合与方案'!$D$7))^2)</x:f>
        <x:v>1608.8636000409822</x:v>
      </x:c>
      <x:c r="C164" s="92" t="n">
        <x:f>SQRT('拟合与方案'!$B$8^2+('拟合与方案'!$C$8*(A164-'拟合与方案'!$D$8))^2)</x:f>
        <x:v>1575.3040302391926</x:v>
      </x:c>
      <x:c r="D164" s="92" t="n">
        <x:f>MAX(B164,C164)/MIN(B164,C164)</x:f>
        <x:v>1.0213035510336972</x:v>
      </x:c>
      <x:c r="E164" s="92" t="str">
        <x:f>IF(A164&lt;'拟合与方案'!$C$13,"",SQRT('拟合与方案'!$F$13^2+('拟合与方案'!$G$13*(A164-'拟合与方案'!$H$13))^2))</x:f>
      </x:c>
      <x:c r="F164" s="92" t="n">
        <x:f>C164</x:f>
        <x:v>1575.3040302391926</x:v>
      </x:c>
      <x:c r="G164" s="92" t="str">
        <x:f>IF(E164="","",MAX(E164,F164)/MIN(E164,F164))</x:f>
      </x:c>
      <x:c r="H164" s="92" t="str">
        <x:f>IF(A164&lt;'拟合与方案'!$C$15,"",SQRT('拟合与方案'!$F$15^2+('拟合与方案'!$G$15*(A164-'拟合与方案'!$H$15))^2))</x:f>
      </x:c>
      <x:c r="I164" s="92" t="n">
        <x:f>C164</x:f>
        <x:v>1575.3040302391926</x:v>
      </x:c>
      <x:c r="J164" s="92" t="str">
        <x:f>IF(H164="","",MAX(H164,I164)/MIN(H164,I164))</x:f>
      </x:c>
    </x:row>
    <x:row r="165" ht="15" hidden="0" customHeight="1">
      <x:c r="A165" s="92" t="n">
        <x:v>201.5</x:v>
      </x:c>
      <x:c r="B165" s="92" t="n">
        <x:f>SQRT('拟合与方案'!$B$7^2+('拟合与方案'!$C$7*(A165-'拟合与方案'!$D$7))^2)</x:f>
        <x:v>1592.4690510413343</x:v>
      </x:c>
      <x:c r="C165" s="92" t="n">
        <x:f>SQRT('拟合与方案'!$B$8^2+('拟合与方案'!$C$8*(A165-'拟合与方案'!$D$8))^2)</x:f>
        <x:v>1554.8239189959345</x:v>
      </x:c>
      <x:c r="D165" s="92" t="n">
        <x:f>MAX(B165,C165)/MIN(B165,C165)</x:f>
        <x:v>1.02421182976765</x:v>
      </x:c>
      <x:c r="E165" s="92" t="str">
        <x:f>IF(A165&lt;'拟合与方案'!$C$13,"",SQRT('拟合与方案'!$F$13^2+('拟合与方案'!$G$13*(A165-'拟合与方案'!$H$13))^2))</x:f>
      </x:c>
      <x:c r="F165" s="92" t="n">
        <x:f>C165</x:f>
        <x:v>1554.8239189959345</x:v>
      </x:c>
      <x:c r="G165" s="92" t="str">
        <x:f>IF(E165="","",MAX(E165,F165)/MIN(E165,F165))</x:f>
      </x:c>
      <x:c r="H165" s="92" t="str">
        <x:f>IF(A165&lt;'拟合与方案'!$C$15,"",SQRT('拟合与方案'!$F$15^2+('拟合与方案'!$G$15*(A165-'拟合与方案'!$H$15))^2))</x:f>
      </x:c>
      <x:c r="I165" s="92" t="n">
        <x:f>C165</x:f>
        <x:v>1554.8239189959345</x:v>
      </x:c>
      <x:c r="J165" s="92" t="str">
        <x:f>IF(H165="","",MAX(H165,I165)/MIN(H165,I165))</x:f>
      </x:c>
    </x:row>
    <x:row r="166" ht="15" hidden="0" customHeight="1">
      <x:c r="A166" s="92" t="n">
        <x:v>202</x:v>
      </x:c>
      <x:c r="B166" s="92" t="n">
        <x:f>SQRT('拟合与方案'!$B$7^2+('拟合与方案'!$C$7*(A166-'拟合与方案'!$D$7))^2)</x:f>
        <x:v>1576.151117236104</x:v>
      </x:c>
      <x:c r="C166" s="92" t="n">
        <x:f>SQRT('拟合与方案'!$B$8^2+('拟合与方案'!$C$8*(A166-'拟合与方案'!$D$8))^2)</x:f>
        <x:v>1534.37700505138</x:v>
      </x:c>
      <x:c r="D166" s="92" t="n">
        <x:f>MAX(B166,C166)/MIN(B166,C166)</x:f>
        <x:v>1.0272254550525706</x:v>
      </x:c>
      <x:c r="E166" s="92" t="str">
        <x:f>IF(A166&lt;'拟合与方案'!$C$13,"",SQRT('拟合与方案'!$F$13^2+('拟合与方案'!$G$13*(A166-'拟合与方案'!$H$13))^2))</x:f>
      </x:c>
      <x:c r="F166" s="92" t="n">
        <x:f>C166</x:f>
        <x:v>1534.37700505138</x:v>
      </x:c>
      <x:c r="G166" s="92" t="str">
        <x:f>IF(E166="","",MAX(E166,F166)/MIN(E166,F166))</x:f>
      </x:c>
      <x:c r="H166" s="92" t="str">
        <x:f>IF(A166&lt;'拟合与方案'!$C$15,"",SQRT('拟合与方案'!$F$15^2+('拟合与方案'!$G$15*(A166-'拟合与方案'!$H$15))^2))</x:f>
      </x:c>
      <x:c r="I166" s="92" t="n">
        <x:f>C166</x:f>
        <x:v>1534.37700505138</x:v>
      </x:c>
      <x:c r="J166" s="92" t="str">
        <x:f>IF(H166="","",MAX(H166,I166)/MIN(H166,I166))</x:f>
      </x:c>
    </x:row>
    <x:row r="167" ht="15" hidden="0" customHeight="1">
      <x:c r="A167" s="92" t="n">
        <x:v>202.5</x:v>
      </x:c>
      <x:c r="B167" s="92" t="n">
        <x:f>SQRT('拟合与方案'!$B$7^2+('拟合与方案'!$C$7*(A167-'拟合与方案'!$D$7))^2)</x:f>
        <x:v>1559.912202996445</x:v>
      </x:c>
      <x:c r="C167" s="92" t="n">
        <x:f>SQRT('拟合与方案'!$B$8^2+('拟合与方案'!$C$8*(A167-'拟合与方案'!$D$8))^2)</x:f>
        <x:v>1513.9646334487284</x:v>
      </x:c>
      <x:c r="D167" s="92" t="n">
        <x:f>MAX(B167,C167)/MIN(B167,C167)</x:f>
        <x:v>1.030349169678456</x:v>
      </x:c>
      <x:c r="E167" s="92" t="str">
        <x:f>IF(A167&lt;'拟合与方案'!$C$13,"",SQRT('拟合与方案'!$F$13^2+('拟合与方案'!$G$13*(A167-'拟合与方案'!$H$13))^2))</x:f>
      </x:c>
      <x:c r="F167" s="92" t="n">
        <x:f>C167</x:f>
        <x:v>1513.9646334487284</x:v>
      </x:c>
      <x:c r="G167" s="92" t="str">
        <x:f>IF(E167="","",MAX(E167,F167)/MIN(E167,F167))</x:f>
      </x:c>
      <x:c r="H167" s="92" t="str">
        <x:f>IF(A167&lt;'拟合与方案'!$C$15,"",SQRT('拟合与方案'!$F$15^2+('拟合与方案'!$G$15*(A167-'拟合与方案'!$H$15))^2))</x:f>
      </x:c>
      <x:c r="I167" s="92" t="n">
        <x:f>C167</x:f>
        <x:v>1513.9646334487284</x:v>
      </x:c>
      <x:c r="J167" s="92" t="str">
        <x:f>IF(H167="","",MAX(H167,I167)/MIN(H167,I167))</x:f>
      </x:c>
    </x:row>
    <x:row r="168" ht="15" hidden="0" customHeight="1">
      <x:c r="A168" s="92" t="n">
        <x:v>203</x:v>
      </x:c>
      <x:c r="B168" s="92" t="n">
        <x:f>SQRT('拟合与方案'!$B$7^2+('拟合与方案'!$C$7*(A168-'拟合与方案'!$D$7))^2)</x:f>
        <x:v>1543.7548019689848</x:v>
      </x:c>
      <x:c r="C168" s="92" t="n">
        <x:f>SQRT('拟合与方案'!$B$8^2+('拟合与方案'!$C$8*(A168-'拟合与方案'!$D$8))^2)</x:f>
        <x:v>1493.5882204246177</x:v>
      </x:c>
      <x:c r="D168" s="92" t="n">
        <x:f>MAX(B168,C168)/MIN(B168,C168)</x:f>
        <x:v>1.0335879600939173</x:v>
      </x:c>
      <x:c r="E168" s="92" t="str">
        <x:f>IF(A168&lt;'拟合与方案'!$C$13,"",SQRT('拟合与方案'!$F$13^2+('拟合与方案'!$G$13*(A168-'拟合与方案'!$H$13))^2))</x:f>
      </x:c>
      <x:c r="F168" s="92" t="n">
        <x:f>C168</x:f>
        <x:v>1493.5882204246177</x:v>
      </x:c>
      <x:c r="G168" s="92" t="str">
        <x:f>IF(E168="","",MAX(E168,F168)/MIN(E168,F168))</x:f>
      </x:c>
      <x:c r="H168" s="92" t="str">
        <x:f>IF(A168&lt;'拟合与方案'!$C$15,"",SQRT('拟合与方案'!$F$15^2+('拟合与方案'!$G$15*(A168-'拟合与方案'!$H$15))^2))</x:f>
      </x:c>
      <x:c r="I168" s="92" t="n">
        <x:f>C168</x:f>
        <x:v>1493.5882204246177</x:v>
      </x:c>
      <x:c r="J168" s="92" t="str">
        <x:f>IF(H168="","",MAX(H168,I168)/MIN(H168,I168))</x:f>
      </x:c>
    </x:row>
    <x:row r="169" ht="15" hidden="0" customHeight="1">
      <x:c r="A169" s="92" t="n">
        <x:v>203.5</x:v>
      </x:c>
      <x:c r="B169" s="92" t="n">
        <x:f>SQRT('拟合与方案'!$B$7^2+('拟合与方案'!$C$7*(A169-'拟合与方案'!$D$7))^2)</x:f>
        <x:v>1527.681500509792</x:v>
      </x:c>
      <x:c r="C169" s="92" t="n">
        <x:f>SQRT('拟合与方案'!$B$8^2+('拟合与方案'!$C$8*(A169-'拟合与方案'!$D$8))^2)</x:f>
        <x:v>1473.2492580019666</x:v>
      </x:c>
      <x:c r="D169" s="92" t="n">
        <x:f>MAX(B169,C169)/MIN(B169,C169)</x:f>
        <x:v>1.0369470693517584</x:v>
      </x:c>
      <x:c r="E169" s="92" t="str">
        <x:f>IF(A169&lt;'拟合与方案'!$C$13,"",SQRT('拟合与方案'!$F$13^2+('拟合与方案'!$G$13*(A169-'拟合与方案'!$H$13))^2))</x:f>
      </x:c>
      <x:c r="F169" s="92" t="n">
        <x:f>C169</x:f>
        <x:v>1473.2492580019666</x:v>
      </x:c>
      <x:c r="G169" s="92" t="str">
        <x:f>IF(E169="","",MAX(E169,F169)/MIN(E169,F169))</x:f>
      </x:c>
      <x:c r="H169" s="92" t="str">
        <x:f>IF(A169&lt;'拟合与方案'!$C$15,"",SQRT('拟合与方案'!$F$15^2+('拟合与方案'!$G$15*(A169-'拟合与方案'!$H$15))^2))</x:f>
      </x:c>
      <x:c r="I169" s="92" t="n">
        <x:f>C169</x:f>
        <x:v>1473.2492580019666</x:v>
      </x:c>
      <x:c r="J169" s="92" t="str">
        <x:f>IF(H169="","",MAX(H169,I169)/MIN(H169,I169))</x:f>
      </x:c>
    </x:row>
    <x:row r="170" ht="15" hidden="0" customHeight="1">
      <x:c r="A170" s="92" t="n">
        <x:v>204</x:v>
      </x:c>
      <x:c r="B170" s="92" t="n">
        <x:f>SQRT('拟合与方案'!$B$7^2+('拟合与方案'!$C$7*(A170-'拟合与方案'!$D$7))^2)</x:f>
        <x:v>1511.694981221368</x:v>
      </x:c>
      <x:c r="C170" s="92" t="n">
        <x:f>SQRT('拟合与方案'!$B$8^2+('拟合与方案'!$C$8*(A170-'拟合与方案'!$D$8))^2)</x:f>
        <x:v>1452.9493189268671</x:v>
      </x:c>
      <x:c r="D170" s="92" t="n">
        <x:f>MAX(B170,C170)/MIN(B170,C170)</x:f>
        <x:v>1.040432010620914</x:v>
      </x:c>
      <x:c r="E170" s="92" t="str">
        <x:f>IF(A170&lt;'拟合与方案'!$C$13,"",SQRT('拟合与方案'!$F$13^2+('拟合与方案'!$G$13*(A170-'拟合与方案'!$H$13))^2))</x:f>
      </x:c>
      <x:c r="F170" s="92" t="n">
        <x:f>C170</x:f>
        <x:v>1452.9493189268671</x:v>
      </x:c>
      <x:c r="G170" s="92" t="str">
        <x:f>IF(E170="","",MAX(E170,F170)/MIN(E170,F170))</x:f>
      </x:c>
      <x:c r="H170" s="92" t="str">
        <x:f>IF(A170&lt;'拟合与方案'!$C$15,"",SQRT('拟合与方案'!$F$15^2+('拟合与方案'!$G$15*(A170-'拟合与方案'!$H$15))^2))</x:f>
      </x:c>
      <x:c r="I170" s="92" t="n">
        <x:f>C170</x:f>
        <x:v>1452.9493189268671</x:v>
      </x:c>
      <x:c r="J170" s="92" t="str">
        <x:f>IF(H170="","",MAX(H170,I170)/MIN(H170,I170))</x:f>
      </x:c>
    </x:row>
    <x:row r="171" ht="15" hidden="0" customHeight="1">
      <x:c r="A171" s="92" t="n">
        <x:v>204.5</x:v>
      </x:c>
      <x:c r="B171" s="92" t="n">
        <x:f>SQRT('拟合与方案'!$B$7^2+('拟合与方案'!$C$7*(A171-'拟合与方案'!$D$7))^2)</x:f>
        <x:v>1495.7980265906117</x:v>
      </x:c>
      <x:c r="C171" s="92" t="n">
        <x:f>SQRT('拟合与方案'!$B$8^2+('拟合与方案'!$C$8*(A171-'拟合与方案'!$D$8))^2)</x:f>
        <x:v>1432.6900619782646</x:v>
      </x:c>
      <x:c r="D171" s="92" t="n">
        <x:f>MAX(B171,C171)/MIN(B171,C171)</x:f>
        <x:v>1.0440485812578384</x:v>
      </x:c>
      <x:c r="E171" s="92" t="str">
        <x:f>IF(A171&lt;'拟合与方案'!$C$13,"",SQRT('拟合与方案'!$F$13^2+('拟合与方案'!$G$13*(A171-'拟合与方案'!$H$13))^2))</x:f>
      </x:c>
      <x:c r="F171" s="92" t="n">
        <x:f>C171</x:f>
        <x:v>1432.6900619782646</x:v>
      </x:c>
      <x:c r="G171" s="92" t="str">
        <x:f>IF(E171="","",MAX(E171,F171)/MIN(E171,F171))</x:f>
      </x:c>
      <x:c r="H171" s="92" t="str">
        <x:f>IF(A171&lt;'拟合与方案'!$C$15,"",SQRT('拟合与方案'!$F$15^2+('拟合与方案'!$G$15*(A171-'拟合与方案'!$H$15))^2))</x:f>
      </x:c>
      <x:c r="I171" s="92" t="n">
        <x:f>C171</x:f>
        <x:v>1432.6900619782646</x:v>
      </x:c>
      <x:c r="J171" s="92" t="str">
        <x:f>IF(H171="","",MAX(H171,I171)/MIN(H171,I171))</x:f>
      </x:c>
    </x:row>
    <x:row r="172" ht="15" hidden="0" customHeight="1">
      <x:c r="A172" s="92" t="n">
        <x:v>205</x:v>
      </x:c>
      <x:c r="B172" s="92" t="n">
        <x:f>SQRT('拟合与方案'!$B$7^2+('拟合与方案'!$C$7*(A172-'拟合与方案'!$D$7))^2)</x:f>
        <x:v>1479.9935227247915</x:v>
      </x:c>
      <x:c r="C172" s="92" t="n">
        <x:f>SQRT('拟合与方案'!$B$8^2+('拟合与方案'!$C$8*(A172-'拟合与方案'!$D$8))^2)</x:f>
        <x:v>1412.4732376817103</x:v>
      </x:c>
      <x:c r="D172" s="92" t="n">
        <x:f>MAX(B172,C172)/MIN(B172,C172)</x:f>
        <x:v>1.0478028774222314</x:v>
      </x:c>
      <x:c r="E172" s="92" t="str">
        <x:f>IF(A172&lt;'拟合与方案'!$C$13,"",SQRT('拟合与方案'!$F$13^2+('拟合与方案'!$G$13*(A172-'拟合与方案'!$H$13))^2))</x:f>
      </x:c>
      <x:c r="F172" s="92" t="n">
        <x:f>C172</x:f>
        <x:v>1412.4732376817103</x:v>
      </x:c>
      <x:c r="G172" s="92" t="str">
        <x:f>IF(E172="","",MAX(E172,F172)/MIN(E172,F172))</x:f>
      </x:c>
      <x:c r="H172" s="92" t="str">
        <x:f>IF(A172&lt;'拟合与方案'!$C$15,"",SQRT('拟合与方案'!$F$15^2+('拟合与方案'!$G$15*(A172-'拟合与方案'!$H$15))^2))</x:f>
      </x:c>
      <x:c r="I172" s="92" t="n">
        <x:f>C172</x:f>
        <x:v>1412.4732376817103</x:v>
      </x:c>
      <x:c r="J172" s="92" t="str">
        <x:f>IF(H172="","",MAX(H172,I172)/MIN(H172,I172))</x:f>
      </x:c>
    </x:row>
    <x:row r="173" ht="15" hidden="0" customHeight="1">
      <x:c r="A173" s="92" t="n">
        <x:v>205.5</x:v>
      </x:c>
      <x:c r="B173" s="92" t="n">
        <x:f>SQRT('拟合与方案'!$B$7^2+('拟合与方案'!$C$7*(A173-'拟合与方案'!$D$7))^2)</x:f>
        <x:v>1464.2844631815158</x:v>
      </x:c>
      <x:c r="C173" s="92" t="n">
        <x:f>SQRT('拟合与方案'!$B$8^2+('拟合与方案'!$C$8*(A173-'拟合与方案'!$D$8))^2)</x:f>
        <x:v>1392.3006944612782</x:v>
      </x:c>
      <x:c r="D173" s="92" t="n">
        <x:f>MAX(B173,C173)/MIN(B173,C173)</x:f>
        <x:v>1.0517013092118654</x:v>
      </x:c>
      <x:c r="E173" s="92" t="str">
        <x:f>IF(A173&lt;'拟合与方案'!$C$13,"",SQRT('拟合与方案'!$F$13^2+('拟合与方案'!$G$13*(A173-'拟合与方案'!$H$13))^2))</x:f>
      </x:c>
      <x:c r="F173" s="92" t="n">
        <x:f>C173</x:f>
        <x:v>1392.3006944612782</x:v>
      </x:c>
      <x:c r="G173" s="92" t="str">
        <x:f>IF(E173="","",MAX(E173,F173)/MIN(E173,F173))</x:f>
      </x:c>
      <x:c r="H173" s="92" t="str">
        <x:f>IF(A173&lt;'拟合与方案'!$C$15,"",SQRT('拟合与方案'!$F$15^2+('拟合与方案'!$G$15*(A173-'拟合与方案'!$H$15))^2))</x:f>
      </x:c>
      <x:c r="I173" s="92" t="n">
        <x:f>C173</x:f>
        <x:v>1392.3006944612782</x:v>
      </x:c>
      <x:c r="J173" s="92" t="str">
        <x:f>IF(H173="","",MAX(H173,I173)/MIN(H173,I173))</x:f>
      </x:c>
    </x:row>
    <x:row r="174" ht="15" hidden="0" customHeight="1">
      <x:c r="A174" s="92" t="n">
        <x:v>206</x:v>
      </x:c>
      <x:c r="B174" s="92" t="n">
        <x:f>SQRT('拟合与方案'!$B$7^2+('拟合与方案'!$C$7*(A174-'拟合与方案'!$D$7))^2)</x:f>
        <x:v>1448.6739528875</x:v>
      </x:c>
      <x:c r="C174" s="92" t="n">
        <x:f>SQRT('拟合与方案'!$B$8^2+('拟合与方案'!$C$8*(A174-'拟合与方案'!$D$8))^2)</x:f>
        <x:v>1372.1743852667544</x:v>
      </x:c>
      <x:c r="D174" s="92" t="n">
        <x:f>MAX(B174,C174)/MIN(B174,C174)</x:f>
        <x:v>1.0557506162789025</x:v>
      </x:c>
      <x:c r="E174" s="92" t="str">
        <x:f>IF(A174&lt;'拟合与方案'!$C$13,"",SQRT('拟合与方案'!$F$13^2+('拟合与方案'!$G$13*(A174-'拟合与方案'!$H$13))^2))</x:f>
      </x:c>
      <x:c r="F174" s="92" t="n">
        <x:f>C174</x:f>
        <x:v>1372.1743852667544</x:v>
      </x:c>
      <x:c r="G174" s="92" t="str">
        <x:f>IF(E174="","",MAX(E174,F174)/MIN(E174,F174))</x:f>
      </x:c>
      <x:c r="H174" s="92" t="str">
        <x:f>IF(A174&lt;'拟合与方案'!$C$15,"",SQRT('拟合与方案'!$F$15^2+('拟合与方案'!$G$15*(A174-'拟合与方案'!$H$15))^2))</x:f>
      </x:c>
      <x:c r="I174" s="92" t="n">
        <x:f>C174</x:f>
        <x:v>1372.1743852667544</x:v>
      </x:c>
      <x:c r="J174" s="92" t="str">
        <x:f>IF(H174="","",MAX(H174,I174)/MIN(H174,I174))</x:f>
      </x:c>
    </x:row>
    <x:row r="175" ht="15" hidden="0" customHeight="1">
      <x:c r="A175" s="92" t="n">
        <x:v>206.5</x:v>
      </x:c>
      <x:c r="B175" s="92" t="n">
        <x:f>SQRT('拟合与方案'!$B$7^2+('拟合与方案'!$C$7*(A175-'拟合与方案'!$D$7))^2)</x:f>
        <x:v>1433.1652121395784</x:v>
      </x:c>
      <x:c r="C175" s="92" t="n">
        <x:f>SQRT('拟合与方案'!$B$8^2+('拟合与方案'!$C$8*(A175-'拟合与方案'!$D$8))^2)</x:f>
        <x:v>1352.096374716524</x:v>
      </x:c>
      <x:c r="D175" s="92" t="n">
        <x:f>MAX(B175,C175)/MIN(B175,C175)</x:f>
        <x:v>1.0599578838749946</x:v>
      </x:c>
      <x:c r="E175" s="92" t="str">
        <x:f>IF(A175&lt;'拟合与方案'!$C$13,"",SQRT('拟合与方案'!$F$13^2+('拟合与方案'!$G$13*(A175-'拟合与方案'!$H$13))^2))</x:f>
      </x:c>
      <x:c r="F175" s="92" t="n">
        <x:f>C175</x:f>
        <x:v>1352.096374716524</x:v>
      </x:c>
      <x:c r="G175" s="92" t="str">
        <x:f>IF(E175="","",MAX(E175,F175)/MIN(E175,F175))</x:f>
      </x:c>
      <x:c r="H175" s="92" t="str">
        <x:f>IF(A175&lt;'拟合与方案'!$C$15,"",SQRT('拟合与方案'!$F$15^2+('拟合与方案'!$G$15*(A175-'拟合与方案'!$H$15))^2))</x:f>
      </x:c>
      <x:c r="I175" s="92" t="n">
        <x:f>C175</x:f>
        <x:v>1352.096374716524</x:v>
      </x:c>
      <x:c r="J175" s="92" t="str">
        <x:f>IF(H175="","",MAX(H175,I175)/MIN(H175,I175))</x:f>
      </x:c>
    </x:row>
    <x:row r="176" ht="15" hidden="0" customHeight="1">
      <x:c r="A176" s="92" t="n">
        <x:v>207</x:v>
      </x:c>
      <x:c r="B176" s="92" t="n">
        <x:f>SQRT('拟合与方案'!$B$7^2+('拟合与方案'!$C$7*(A176-'拟合与方案'!$D$7))^2)</x:f>
        <x:v>1417.7615806798915</x:v>
      </x:c>
      <x:c r="C176" s="92" t="n">
        <x:f>SQRT('拟合与方案'!$B$8^2+('拟合与方案'!$C$8*(A176-'拟合与方案'!$D$8))^2)</x:f>
        <x:v>1332.0688468001465</x:v>
      </x:c>
      <x:c r="D176" s="92" t="n">
        <x:f>MAX(B176,C176)/MIN(B176,C176)</x:f>
        <x:v>1.0643305592541956</x:v>
      </x:c>
      <x:c r="E176" s="92" t="str">
        <x:f>IF(A176&lt;'拟合与方案'!$C$13,"",SQRT('拟合与方案'!$F$13^2+('拟合与方案'!$G$13*(A176-'拟合与方案'!$H$13))^2))</x:f>
      </x:c>
      <x:c r="F176" s="92" t="n">
        <x:f>C176</x:f>
        <x:v>1332.0688468001465</x:v>
      </x:c>
      <x:c r="G176" s="92" t="str">
        <x:f>IF(E176="","",MAX(E176,F176)/MIN(E176,F176))</x:f>
      </x:c>
      <x:c r="H176" s="92" t="str">
        <x:f>IF(A176&lt;'拟合与方案'!$C$15,"",SQRT('拟合与方案'!$F$15^2+('拟合与方案'!$G$15*(A176-'拟合与方案'!$H$15))^2))</x:f>
      </x:c>
      <x:c r="I176" s="92" t="n">
        <x:f>C176</x:f>
        <x:v>1332.0688468001465</x:v>
      </x:c>
      <x:c r="J176" s="92" t="str">
        <x:f>IF(H176="","",MAX(H176,I176)/MIN(H176,I176))</x:f>
      </x:c>
    </x:row>
    <x:row r="177" ht="15" hidden="0" customHeight="1">
      <x:c r="A177" s="92" t="n">
        <x:v>207.5</x:v>
      </x:c>
      <x:c r="B177" s="92" t="n">
        <x:f>SQRT('拟合与方案'!$B$7^2+('拟合与方案'!$C$7*(A177-'拟合与方案'!$D$7))^2)</x:f>
        <x:v>1402.4665218354692</x:v>
      </x:c>
      <x:c r="C177" s="92" t="n">
        <x:f>SQRT('拟合与方案'!$B$8^2+('拟合与方案'!$C$8*(A177-'拟合与方案'!$D$8))^2)</x:f>
        <x:v>1312.0941131884983</x:v>
      </x:c>
      <x:c r="D177" s="92" t="n">
        <x:f>MAX(B177,C177)/MIN(B177,C177)</x:f>
        <x:v>1.0688764683406424</x:v>
      </x:c>
      <x:c r="E177" s="92" t="str">
        <x:f>IF(A177&lt;'拟合与方案'!$C$13,"",SQRT('拟合与方案'!$F$13^2+('拟合与方案'!$G$13*(A177-'拟合与方案'!$H$13))^2))</x:f>
      </x:c>
      <x:c r="F177" s="92" t="n">
        <x:f>C177</x:f>
        <x:v>1312.0941131884983</x:v>
      </x:c>
      <x:c r="G177" s="92" t="str">
        <x:f>IF(E177="","",MAX(E177,F177)/MIN(E177,F177))</x:f>
      </x:c>
      <x:c r="H177" s="92" t="str">
        <x:f>IF(A177&lt;'拟合与方案'!$C$15,"",SQRT('拟合与方案'!$F$15^2+('拟合与方案'!$G$15*(A177-'拟合与方案'!$H$15))^2))</x:f>
      </x:c>
      <x:c r="I177" s="92" t="n">
        <x:f>C177</x:f>
        <x:v>1312.0941131884983</x:v>
      </x:c>
      <x:c r="J177" s="92" t="str">
        <x:f>IF(H177="","",MAX(H177,I177)/MIN(H177,I177))</x:f>
      </x:c>
    </x:row>
    <x:row r="178" ht="15" hidden="0" customHeight="1">
      <x:c r="A178" s="92" t="n">
        <x:v>208</x:v>
      </x:c>
      <x:c r="B178" s="92" t="n">
        <x:f>SQRT('拟合与方案'!$B$7^2+('拟合与方案'!$C$7*(A178-'拟合与方案'!$D$7))^2)</x:f>
        <x:v>1387.2836267105172</x:v>
      </x:c>
      <x:c r="C178" s="92" t="n">
        <x:f>SQRT('拟合与方案'!$B$8^2+('拟合与方案'!$C$8*(A178-'拟合与方案'!$D$8))^2)</x:f>
        <x:v>1292.1746222035492</x:v>
      </x:c>
      <x:c r="D178" s="92" t="n">
        <x:f>MAX(B178,C178)/MIN(B178,C178)</x:f>
        <x:v>1.0736038325414397</x:v>
      </x:c>
      <x:c r="E178" s="92" t="str">
        <x:f>IF(A178&lt;'拟合与方案'!$C$13,"",SQRT('拟合与方案'!$F$13^2+('拟合与方案'!$G$13*(A178-'拟合与方案'!$H$13))^2))</x:f>
      </x:c>
      <x:c r="F178" s="92" t="n">
        <x:f>C178</x:f>
        <x:v>1292.1746222035492</x:v>
      </x:c>
      <x:c r="G178" s="92" t="str">
        <x:f>IF(E178="","",MAX(E178,F178)/MIN(E178,F178))</x:f>
      </x:c>
      <x:c r="H178" s="92" t="str">
        <x:f>IF(A178&lt;'拟合与方案'!$C$15,"",SQRT('拟合与方案'!$F$15^2+('拟合与方案'!$G$15*(A178-'拟合与方案'!$H$15))^2))</x:f>
      </x:c>
      <x:c r="I178" s="92" t="n">
        <x:f>C178</x:f>
        <x:v>1292.1746222035492</x:v>
      </x:c>
      <x:c r="J178" s="92" t="str">
        <x:f>IF(H178="","",MAX(H178,I178)/MIN(H178,I178))</x:f>
      </x:c>
    </x:row>
    <x:row r="179" ht="15" hidden="0" customHeight="1">
      <x:c r="A179" s="92" t="n">
        <x:v>208.5</x:v>
      </x:c>
      <x:c r="B179" s="92" t="n">
        <x:f>SQRT('拟合与方案'!$B$7^2+('拟合与方案'!$C$7*(A179-'拟合与方案'!$D$7))^2)</x:f>
        <x:v>1372.2166184175755</x:v>
      </x:c>
      <x:c r="C179" s="92" t="n">
        <x:f>SQRT('拟合与方案'!$B$8^2+('拟合与方案'!$C$8*(A179-'拟合与方案'!$D$8))^2)</x:f>
        <x:v>1272.3129685043664</x:v>
      </x:c>
      <x:c r="D179" s="92" t="n">
        <x:f>MAX(B179,C179)/MIN(B179,C179)</x:f>
        <x:v>1.0785212855533872</x:v>
      </x:c>
      <x:c r="E179" s="92" t="str">
        <x:f>IF(A179&lt;'拟合与方案'!$C$13,"",SQRT('拟合与方案'!$F$13^2+('拟合与方案'!$G$13*(A179-'拟合与方案'!$H$13))^2))</x:f>
      </x:c>
      <x:c r="F179" s="92" t="n">
        <x:f>C179</x:f>
        <x:v>1272.3129685043664</x:v>
      </x:c>
      <x:c r="G179" s="92" t="str">
        <x:f>IF(E179="","",MAX(E179,F179)/MIN(E179,F179))</x:f>
      </x:c>
      <x:c r="H179" s="92" t="str">
        <x:f>IF(A179&lt;'拟合与方案'!$C$15,"",SQRT('拟合与方案'!$F$15^2+('拟合与方案'!$G$15*(A179-'拟合与方案'!$H$15))^2))</x:f>
      </x:c>
      <x:c r="I179" s="92" t="n">
        <x:f>C179</x:f>
        <x:v>1272.3129685043664</x:v>
      </x:c>
      <x:c r="J179" s="92" t="str">
        <x:f>IF(H179="","",MAX(H179,I179)/MIN(H179,I179))</x:f>
      </x:c>
    </x:row>
    <x:row r="180" ht="15" hidden="0" customHeight="1">
      <x:c r="A180" s="92" t="n">
        <x:v>209</x:v>
      </x:c>
      <x:c r="B180" s="92" t="n">
        <x:f>SQRT('拟合与方案'!$B$7^2+('拟合与方案'!$C$7*(A180-'拟合与方案'!$D$7))^2)</x:f>
        <x:v>1357.2693563313508</x:v>
      </x:c>
      <x:c r="C180" s="92" t="n">
        <x:f>SQRT('拟合与方案'!$B$8^2+('拟合与方案'!$C$8*(A180-'拟合与方案'!$D$8))^2)</x:f>
        <x:v>1252.511903550794</x:v>
      </x:c>
      <x:c r="D180" s="92" t="n">
        <x:f>MAX(B180,C180)/MIN(B180,C180)</x:f>
        <x:v>1.0836378899741999</x:v>
      </x:c>
      <x:c r="E180" s="92" t="str">
        <x:f>IF(A180&lt;'拟合与方案'!$C$13,"",SQRT('拟合与方案'!$F$13^2+('拟合与方案'!$G$13*(A180-'拟合与方案'!$H$13))^2))</x:f>
      </x:c>
      <x:c r="F180" s="92" t="n">
        <x:f>C180</x:f>
        <x:v>1252.511903550794</x:v>
      </x:c>
      <x:c r="G180" s="92" t="str">
        <x:f>IF(E180="","",MAX(E180,F180)/MIN(E180,F180))</x:f>
      </x:c>
      <x:c r="H180" s="92" t="str">
        <x:f>IF(A180&lt;'拟合与方案'!$C$15,"",SQRT('拟合与方案'!$F$15^2+('拟合与方案'!$G$15*(A180-'拟合与方案'!$H$15))^2))</x:f>
      </x:c>
      <x:c r="I180" s="92" t="n">
        <x:f>C180</x:f>
        <x:v>1252.511903550794</x:v>
      </x:c>
      <x:c r="J180" s="92" t="str">
        <x:f>IF(H180="","",MAX(H180,I180)/MIN(H180,I180))</x:f>
      </x:c>
    </x:row>
    <x:row r="181" ht="15" hidden="0" customHeight="1">
      <x:c r="A181" s="92" t="n">
        <x:v>209.5</x:v>
      </x:c>
      <x:c r="B181" s="92" t="n">
        <x:f>SQRT('拟合与方案'!$B$7^2+('拟合与方案'!$C$7*(A181-'拟合与方案'!$D$7))^2)</x:f>
        <x:v>1342.4458403463977</x:v>
      </x:c>
      <x:c r="C181" s="92" t="n">
        <x:f>SQRT('拟合与方案'!$B$8^2+('拟合与方案'!$C$8*(A181-'拟合与方案'!$D$8))^2)</x:f>
        <x:v>1232.7743469114728</x:v>
      </x:c>
      <x:c r="D181" s="92" t="n">
        <x:f>MAX(B181,C181)/MIN(B181,C181)</x:f>
        <x:v>1.0889631534835957</x:v>
      </x:c>
      <x:c r="E181" s="92" t="str">
        <x:f>IF(A181&lt;'拟合与方案'!$C$13,"",SQRT('拟合与方案'!$F$13^2+('拟合与方案'!$G$13*(A181-'拟合与方案'!$H$13))^2))</x:f>
      </x:c>
      <x:c r="F181" s="92" t="n">
        <x:f>C181</x:f>
        <x:v>1232.7743469114728</x:v>
      </x:c>
      <x:c r="G181" s="92" t="str">
        <x:f>IF(E181="","",MAX(E181,F181)/MIN(E181,F181))</x:f>
      </x:c>
      <x:c r="H181" s="92" t="str">
        <x:f>IF(A181&lt;'拟合与方案'!$C$15,"",SQRT('拟合与方案'!$F$15^2+('拟合与方案'!$G$15*(A181-'拟合与方案'!$H$15))^2))</x:f>
      </x:c>
      <x:c r="I181" s="92" t="n">
        <x:f>C181</x:f>
        <x:v>1232.7743469114728</x:v>
      </x:c>
      <x:c r="J181" s="92" t="str">
        <x:f>IF(H181="","",MAX(H181,I181)/MIN(H181,I181))</x:f>
      </x:c>
    </x:row>
    <x:row r="182" ht="15" hidden="0" customHeight="1">
      <x:c r="A182" s="92" t="n">
        <x:v>210</x:v>
      </x:c>
      <x:c r="B182" s="92" t="n">
        <x:f>SQRT('拟合与方案'!$B$7^2+('拟合与方案'!$C$7*(A182-'拟合与方案'!$D$7))^2)</x:f>
        <x:v>1327.7502151169267</x:v>
      </x:c>
      <x:c r="C182" s="92" t="n">
        <x:f>SQRT('拟合与方案'!$B$8^2+('拟合与方案'!$C$8*(A182-'拟合与方案'!$D$8))^2)</x:f>
        <x:v>1213.1033984884048</x:v>
      </x:c>
      <x:c r="D182" s="92" t="n">
        <x:f>MAX(B182,C182)/MIN(B182,C182)</x:f>
        <x:v>1.0945070443058509</x:v>
      </x:c>
      <x:c r="E182" s="92" t="str">
        <x:f>IF(A182&lt;'拟合与方案'!$C$13,"",SQRT('拟合与方案'!$F$13^2+('拟合与方案'!$G$13*(A182-'拟合与方案'!$H$13))^2))</x:f>
      </x:c>
      <x:c r="F182" s="92" t="n">
        <x:f>C182</x:f>
        <x:v>1213.1033984884048</x:v>
      </x:c>
      <x:c r="G182" s="92" t="str">
        <x:f>IF(E182="","",MAX(E182,F182)/MIN(E182,F182))</x:f>
      </x:c>
      <x:c r="H182" s="92" t="str">
        <x:f>IF(A182&lt;'拟合与方案'!$C$15,"",SQRT('拟合与方案'!$F$15^2+('拟合与方案'!$G$15*(A182-'拟合与方案'!$H$15))^2))</x:f>
      </x:c>
      <x:c r="I182" s="92" t="n">
        <x:f>C182</x:f>
        <x:v>1213.1033984884048</x:v>
      </x:c>
      <x:c r="J182" s="92" t="str">
        <x:f>IF(H182="","",MAX(H182,I182)/MIN(H182,I182))</x:f>
      </x:c>
    </x:row>
    <x:row r="183" ht="15" hidden="0" customHeight="1">
      <x:c r="A183" s="92" t="n">
        <x:v>210.5</x:v>
      </x:c>
      <x:c r="B183" s="92" t="n">
        <x:f>SQRT('拟合与方案'!$B$7^2+('拟合与方案'!$C$7*(A183-'拟合与方案'!$D$7))^2)</x:f>
        <x:v>1313.1867742538448</x:v>
      </x:c>
      <x:c r="C183" s="92" t="n">
        <x:f>SQRT('拟合与方案'!$B$8^2+('拟合与方案'!$C$8*(A183-'拟合与方案'!$D$8))^2)</x:f>
        <x:v>1193.5023517361665</x:v>
      </x:c>
      <x:c r="D183" s="92" t="n">
        <x:f>MAX(B183,C183)/MIN(B183,C183)</x:f>
        <x:v>1.1002800056016442</x:v>
      </x:c>
      <x:c r="E183" s="92" t="str">
        <x:f>IF(A183&lt;'拟合与方案'!$C$13,"",SQRT('拟合与方案'!$F$13^2+('拟合与方案'!$G$13*(A183-'拟合与方案'!$H$13))^2))</x:f>
      </x:c>
      <x:c r="F183" s="92" t="n">
        <x:f>C183</x:f>
        <x:v>1193.5023517361665</x:v>
      </x:c>
      <x:c r="G183" s="92" t="str">
        <x:f>IF(E183="","",MAX(E183,F183)/MIN(E183,F183))</x:f>
      </x:c>
      <x:c r="H183" s="92" t="str">
        <x:f>IF(A183&lt;'拟合与方案'!$C$15,"",SQRT('拟合与方案'!$F$15^2+('拟合与方案'!$G$15*(A183-'拟合与方案'!$H$15))^2))</x:f>
      </x:c>
      <x:c r="I183" s="92" t="n">
        <x:f>C183</x:f>
        <x:v>1193.5023517361665</x:v>
      </x:c>
      <x:c r="J183" s="92" t="str">
        <x:f>IF(H183="","",MAX(H183,I183)/MIN(H183,I183))</x:f>
      </x:c>
    </x:row>
    <x:row r="184" ht="15" hidden="0" customHeight="1">
      <x:c r="A184" s="92" t="n">
        <x:v>211</x:v>
      </x:c>
      <x:c r="B184" s="92" t="n">
        <x:f>SQRT('拟合与方案'!$B$7^2+('拟合与方案'!$C$7*(A184-'拟合与方案'!$D$7))^2)</x:f>
        <x:v>1298.7599644506538</x:v>
      </x:c>
      <x:c r="C184" s="92" t="n">
        <x:f>SQRT('拟合与方案'!$B$8^2+('拟合与方案'!$C$8*(A184-'拟合与方案'!$D$8))^2)</x:f>
        <x:v>1173.9747079600722</x:v>
      </x:c>
      <x:c r="D184" s="92" t="n">
        <x:f>MAX(B184,C184)/MIN(B184,C184)</x:f>
        <x:v>1.1062929683616536</x:v>
      </x:c>
      <x:c r="E184" s="92" t="str">
        <x:f>IF(A184&lt;'拟合与方案'!$C$13,"",SQRT('拟合与方案'!$F$13^2+('拟合与方案'!$G$13*(A184-'拟合与方案'!$H$13))^2))</x:f>
      </x:c>
      <x:c r="F184" s="92" t="n">
        <x:f>C184</x:f>
        <x:v>1173.9747079600722</x:v>
      </x:c>
      <x:c r="G184" s="92" t="str">
        <x:f>IF(E184="","",MAX(E184,F184)/MIN(E184,F184))</x:f>
      </x:c>
      <x:c r="H184" s="92" t="str">
        <x:f>IF(A184&lt;'拟合与方案'!$C$15,"",SQRT('拟合与方案'!$F$15^2+('拟合与方案'!$G$15*(A184-'拟合与方案'!$H$15))^2))</x:f>
      </x:c>
      <x:c r="I184" s="92" t="n">
        <x:f>C184</x:f>
        <x:v>1173.9747079600722</x:v>
      </x:c>
      <x:c r="J184" s="92" t="str">
        <x:f>IF(H184="","",MAX(H184,I184)/MIN(H184,I184))</x:f>
      </x:c>
    </x:row>
    <x:row r="185" ht="15" hidden="0" customHeight="1">
      <x:c r="A185" s="92" t="n">
        <x:v>211.5</x:v>
      </x:c>
      <x:c r="B185" s="92" t="n">
        <x:f>SQRT('拟合与方案'!$B$7^2+('拟合与方案'!$C$7*(A185-'拟合与方案'!$D$7))^2)</x:f>
        <x:v>1284.4743895060665</x:v>
      </x:c>
      <x:c r="C185" s="92" t="n">
        <x:f>SQRT('拟合与方案'!$B$8^2+('拟合与方案'!$C$8*(A185-'拟合与方案'!$D$8))^2)</x:f>
        <x:v>1154.5241917840647</x:v>
      </x:c>
      <x:c r="D185" s="92" t="n">
        <x:f>MAX(B185,C185)/MIN(B185,C185)</x:f>
        <x:v>1.1125573622854903</x:v>
      </x:c>
      <x:c r="E185" s="92" t="str">
        <x:f>IF(A185&lt;'拟合与方案'!$C$13,"",SQRT('拟合与方案'!$F$13^2+('拟合与方案'!$G$13*(A185-'拟合与方案'!$H$13))^2))</x:f>
      </x:c>
      <x:c r="F185" s="92" t="n">
        <x:f>C185</x:f>
        <x:v>1154.5241917840647</x:v>
      </x:c>
      <x:c r="G185" s="92" t="str">
        <x:f>IF(E185="","",MAX(E185,F185)/MIN(E185,F185))</x:f>
      </x:c>
      <x:c r="H185" s="92" t="str">
        <x:f>IF(A185&lt;'拟合与方案'!$C$15,"",SQRT('拟合与方案'!$F$15^2+('拟合与方案'!$G$15*(A185-'拟合与方案'!$H$15))^2))</x:f>
      </x:c>
      <x:c r="I185" s="92" t="n">
        <x:f>C185</x:f>
        <x:v>1154.5241917840647</x:v>
      </x:c>
      <x:c r="J185" s="92" t="str">
        <x:f>IF(H185="","",MAX(H185,I185)/MIN(H185,I185))</x:f>
      </x:c>
    </x:row>
    <x:row r="186" ht="15" hidden="0" customHeight="1">
      <x:c r="A186" s="92" t="n">
        <x:v>212</x:v>
      </x:c>
      <x:c r="B186" s="92" t="n">
        <x:f>SQRT('拟合与方案'!$B$7^2+('拟合与方案'!$C$7*(A186-'拟合与方案'!$D$7))^2)</x:f>
        <x:v>1270.3348142070947</x:v>
      </x:c>
      <x:c r="C186" s="92" t="n">
        <x:f>SQRT('拟合与方案'!$B$8^2+('拟合与方案'!$C$8*(A186-'拟合与方案'!$D$8))^2)</x:f>
        <x:v>1135.1547678858121</x:v>
      </x:c>
      <x:c r="D186" s="92" t="n">
        <x:f>MAX(B186,C186)/MIN(B186,C186)</x:f>
        <x:v>1.119085124025027</x:v>
      </x:c>
      <x:c r="E186" s="92" t="str">
        <x:f>IF(A186&lt;'拟合与方案'!$C$13,"",SQRT('拟合与方案'!$F$13^2+('拟合与方案'!$G$13*(A186-'拟合与方案'!$H$13))^2))</x:f>
      </x:c>
      <x:c r="F186" s="92" t="n">
        <x:f>C186</x:f>
        <x:v>1135.1547678858121</x:v>
      </x:c>
      <x:c r="G186" s="92" t="str">
        <x:f>IF(E186="","",MAX(E186,F186)/MIN(E186,F186))</x:f>
      </x:c>
      <x:c r="H186" s="92" t="str">
        <x:f>IF(A186&lt;'拟合与方案'!$C$15,"",SQRT('拟合与方案'!$F$15^2+('拟合与方案'!$G$15*(A186-'拟合与方案'!$H$15))^2))</x:f>
      </x:c>
      <x:c r="I186" s="92" t="n">
        <x:f>C186</x:f>
        <x:v>1135.1547678858121</x:v>
      </x:c>
      <x:c r="J186" s="92" t="str">
        <x:f>IF(H186="","",MAX(H186,I186)/MIN(H186,I186))</x:f>
      </x:c>
    </x:row>
    <x:row r="187" ht="15" hidden="0" customHeight="1">
      <x:c r="A187" s="92" t="n">
        <x:v>212.5</x:v>
      </x:c>
      <x:c r="B187" s="92" t="n">
        <x:f>SQRT('拟合与方案'!$B$7^2+('拟合与方案'!$C$7*(A187-'拟合与方案'!$D$7))^2)</x:f>
        <x:v>1256.3461680319792</x:v>
      </x:c>
      <x:c r="C187" s="92" t="n">
        <x:f>SQRT('拟合与方案'!$B$8^2+('拟合与方案'!$C$8*(A187-'拟合与方案'!$D$8))^2)</x:f>
        <x:v>1115.870659103317</x:v>
      </x:c>
      <x:c r="D187" s="92" t="n">
        <x:f>MAX(B187,C187)/MIN(B187,C187)</x:f>
        <x:v>1.1258887020486268</x:v>
      </x:c>
      <x:c r="E187" s="92" t="str">
        <x:f>IF(A187&lt;'拟合与方案'!$C$13,"",SQRT('拟合与方案'!$F$13^2+('拟合与方案'!$G$13*(A187-'拟合与方案'!$H$13))^2))</x:f>
      </x:c>
      <x:c r="F187" s="92" t="n">
        <x:f>C187</x:f>
        <x:v>1115.870659103317</x:v>
      </x:c>
      <x:c r="G187" s="92" t="str">
        <x:f>IF(E187="","",MAX(E187,F187)/MIN(E187,F187))</x:f>
      </x:c>
      <x:c r="H187" s="92" t="str">
        <x:f>IF(A187&lt;'拟合与方案'!$C$15,"",SQRT('拟合与方案'!$F$15^2+('拟合与方案'!$G$15*(A187-'拟合与方案'!$H$15))^2))</x:f>
      </x:c>
      <x:c r="I187" s="92" t="n">
        <x:f>C187</x:f>
        <x:v>1115.870659103317</x:v>
      </x:c>
      <x:c r="J187" s="92" t="str">
        <x:f>IF(H187="","",MAX(H187,I187)/MIN(H187,I187))</x:f>
      </x:c>
    </x:row>
    <x:row r="188" ht="15" hidden="0" customHeight="1">
      <x:c r="A188" s="92" t="n">
        <x:v>213</x:v>
      </x:c>
      <x:c r="B188" s="92" t="n">
        <x:f>SQRT('拟合与方案'!$B$7^2+('拟合与方案'!$C$7*(A188-'拟合与方案'!$D$7))^2)</x:f>
        <x:v>1242.51354862761</x:v>
      </x:c>
      <x:c r="C188" s="92" t="n">
        <x:f>SQRT('拟合与方案'!$B$8^2+('拟合与方案'!$C$8*(A188-'拟合与方案'!$D$8))^2)</x:f>
        <x:v>1096.6763660241718</x:v>
      </x:c>
      <x:c r="D188" s="92" t="n">
        <x:f>MAX(B188,C188)/MIN(B188,C188)</x:f>
        <x:v>1.1329810572394734</x:v>
      </x:c>
      <x:c r="E188" s="92" t="str">
        <x:f>IF(A188&lt;'拟合与方案'!$C$13,"",SQRT('拟合与方案'!$F$13^2+('拟合与方案'!$G$13*(A188-'拟合与方案'!$H$13))^2))</x:f>
      </x:c>
      <x:c r="F188" s="92" t="n">
        <x:f>C188</x:f>
        <x:v>1096.6763660241718</x:v>
      </x:c>
      <x:c r="G188" s="92" t="str">
        <x:f>IF(E188="","",MAX(E188,F188)/MIN(E188,F188))</x:f>
      </x:c>
      <x:c r="H188" s="92" t="str">
        <x:f>IF(A188&lt;'拟合与方案'!$C$15,"",SQRT('拟合与方案'!$F$15^2+('拟合与方案'!$G$15*(A188-'拟合与方案'!$H$15))^2))</x:f>
      </x:c>
      <x:c r="I188" s="92" t="n">
        <x:f>C188</x:f>
        <x:v>1096.6763660241718</x:v>
      </x:c>
      <x:c r="J188" s="92" t="str">
        <x:f>IF(H188="","",MAX(H188,I188)/MIN(H188,I188))</x:f>
      </x:c>
    </x:row>
    <x:row r="189" ht="15" hidden="0" customHeight="1">
      <x:c r="A189" s="92" t="n">
        <x:v>213.5</x:v>
      </x:c>
      <x:c r="B189" s="92" t="n">
        <x:f>SQRT('拟合与方案'!$B$7^2+('拟合与方案'!$C$7*(A189-'拟合与方案'!$D$7))^2)</x:f>
        <x:v>1228.842225011082</x:v>
      </x:c>
      <x:c r="C189" s="92" t="n">
        <x:f>SQRT('拟合与方案'!$B$8^2+('拟合与方案'!$C$8*(A189-'拟合与方案'!$D$8))^2)</x:f>
        <x:v>1077.5766881752913</x:v>
      </x:c>
      <x:c r="D189" s="92" t="n">
        <x:f>MAX(B189,C189)/MIN(B189,C189)</x:f>
        <x:v>1.1403756581742088</x:v>
      </x:c>
      <x:c r="E189" s="92" t="str">
        <x:f>IF(A189&lt;'拟合与方案'!$C$13,"",SQRT('拟合与方案'!$F$13^2+('拟合与方案'!$G$13*(A189-'拟合与方案'!$H$13))^2))</x:f>
      </x:c>
      <x:c r="F189" s="92" t="n">
        <x:f>C189</x:f>
        <x:v>1077.5766881752913</x:v>
      </x:c>
      <x:c r="G189" s="92" t="str">
        <x:f>IF(E189="","",MAX(E189,F189)/MIN(E189,F189))</x:f>
      </x:c>
      <x:c r="H189" s="92" t="str">
        <x:f>IF(A189&lt;'拟合与方案'!$C$15,"",SQRT('拟合与方案'!$F$15^2+('拟合与方案'!$G$15*(A189-'拟合与方案'!$H$15))^2))</x:f>
      </x:c>
      <x:c r="I189" s="92" t="n">
        <x:f>C189</x:f>
        <x:v>1077.5766881752913</x:v>
      </x:c>
      <x:c r="J189" s="92" t="str">
        <x:f>IF(H189="","",MAX(H189,I189)/MIN(H189,I189))</x:f>
      </x:c>
    </x:row>
    <x:row r="190" ht="15" hidden="0" customHeight="1">
      <x:c r="A190" s="92" t="n">
        <x:v>214</x:v>
      </x:c>
      <x:c r="B190" s="92" t="n">
        <x:f>SQRT('拟合与方案'!$B$7^2+('拟合与方案'!$C$7*(A190-'拟合与方案'!$D$7))^2)</x:f>
        <x:v>1215.3376404397548</x:v>
      </x:c>
      <x:c r="C190" s="92" t="n">
        <x:f>SQRT('拟合与方案'!$B$8^2+('拟合与方案'!$C$8*(A190-'拟合与方案'!$D$8))^2)</x:f>
        <x:v>1058.5767469372306</x:v>
      </x:c>
      <x:c r="D190" s="92" t="n">
        <x:f>MAX(B190,C190)/MIN(B190,C190)</x:f>
        <x:v>1.1480864698342172</x:v>
      </x:c>
      <x:c r="E190" s="92" t="str">
        <x:f>IF(A190&lt;'拟合与方案'!$C$13,"",SQRT('拟合与方案'!$F$13^2+('拟合与方案'!$G$13*(A190-'拟合与方案'!$H$13))^2))</x:f>
      </x:c>
      <x:c r="F190" s="92" t="n">
        <x:f>C190</x:f>
        <x:v>1058.5767469372306</x:v>
      </x:c>
      <x:c r="G190" s="92" t="str">
        <x:f>IF(E190="","",MAX(E190,F190)/MIN(E190,F190))</x:f>
      </x:c>
      <x:c r="H190" s="92" t="str">
        <x:f>IF(A190&lt;'拟合与方案'!$C$15,"",SQRT('拟合与方案'!$F$15^2+('拟合与方案'!$G$15*(A190-'拟合与方案'!$H$15))^2))</x:f>
      </x:c>
      <x:c r="I190" s="92" t="n">
        <x:f>C190</x:f>
        <x:v>1058.5767469372306</x:v>
      </x:c>
      <x:c r="J190" s="92" t="str">
        <x:f>IF(H190="","",MAX(H190,I190)/MIN(H190,I190))</x:f>
      </x:c>
    </x:row>
    <x:row r="191" ht="15" hidden="0" customHeight="1">
      <x:c r="A191" s="92" t="n">
        <x:v>214.5</x:v>
      </x:c>
      <x:c r="B191" s="92" t="n">
        <x:f>SQRT('拟合与方案'!$B$7^2+('拟合与方案'!$C$7*(A191-'拟合与方案'!$D$7))^2)</x:f>
        <x:v>1202.0054148886468</x:v>
      </x:c>
      <x:c r="C191" s="92" t="n">
        <x:f>SQRT('拟合与方案'!$B$8^2+('拟合与方案'!$C$8*(A191-'拟合与方案'!$D$8))^2)</x:f>
        <x:v>1039.682010312828</x:v>
      </x:c>
      <x:c r="D191" s="92" t="n">
        <x:f>MAX(B191,C191)/MIN(B191,C191)</x:f>
        <x:v>1.156127934277691</x:v>
      </x:c>
      <x:c r="E191" s="92" t="str">
        <x:f>IF(A191&lt;'拟合与方案'!$C$13,"",SQRT('拟合与方案'!$F$13^2+('拟合与方案'!$G$13*(A191-'拟合与方案'!$H$13))^2))</x:f>
      </x:c>
      <x:c r="F191" s="92" t="n">
        <x:f>C191</x:f>
        <x:v>1039.682010312828</x:v>
      </x:c>
      <x:c r="G191" s="92" t="str">
        <x:f>IF(E191="","",MAX(E191,F191)/MIN(E191,F191))</x:f>
      </x:c>
      <x:c r="H191" s="92" t="str">
        <x:f>IF(A191&lt;'拟合与方案'!$C$15,"",SQRT('拟合与方案'!$F$15^2+('拟合与方案'!$G$15*(A191-'拟合与方案'!$H$15))^2))</x:f>
      </x:c>
      <x:c r="I191" s="92" t="n">
        <x:f>C191</x:f>
        <x:v>1039.682010312828</x:v>
      </x:c>
      <x:c r="J191" s="92" t="str">
        <x:f>IF(H191="","",MAX(H191,I191)/MIN(H191,I191))</x:f>
      </x:c>
    </x:row>
    <x:row r="192" ht="15" hidden="0" customHeight="1">
      <x:c r="A192" s="92" t="n">
        <x:v>215</x:v>
      </x:c>
      <x:c r="B192" s="92" t="n">
        <x:f>SQRT('拟合与方案'!$B$7^2+('拟合与方案'!$C$7*(A192-'拟合与方案'!$D$7))^2)</x:f>
        <x:v>1188.8513470682774</x:v>
      </x:c>
      <x:c r="C192" s="92" t="n">
        <x:f>SQRT('拟合与方案'!$B$8^2+('拟合与方案'!$C$8*(A192-'拟合与方案'!$D$8))^2)</x:f>
        <x:v>1020.8983196844686</x:v>
      </x:c>
      <x:c r="D192" s="92" t="n">
        <x:f>MAX(B192,C192)/MIN(B192,C192)</x:f>
        <x:v>1.1645149415425804</x:v>
      </x:c>
      <x:c r="E192" s="92" t="str">
        <x:f>IF(A192&lt;'拟合与方案'!$C$13,"",SQRT('拟合与方案'!$F$13^2+('拟合与方案'!$G$13*(A192-'拟合与方案'!$H$13))^2))</x:f>
      </x:c>
      <x:c r="F192" s="92" t="n">
        <x:f>C192</x:f>
        <x:v>1020.8983196844686</x:v>
      </x:c>
      <x:c r="G192" s="92" t="str">
        <x:f>IF(E192="","",MAX(E192,F192)/MIN(E192,F192))</x:f>
      </x:c>
      <x:c r="H192" s="92" t="str">
        <x:f>IF(A192&lt;'拟合与方案'!$C$15,"",SQRT('拟合与方案'!$F$15^2+('拟合与方案'!$G$15*(A192-'拟合与方案'!$H$15))^2))</x:f>
      </x:c>
      <x:c r="I192" s="92" t="n">
        <x:f>C192</x:f>
        <x:v>1020.8983196844686</x:v>
      </x:c>
      <x:c r="J192" s="92" t="str">
        <x:f>IF(H192="","",MAX(H192,I192)/MIN(H192,I192))</x:f>
      </x:c>
    </x:row>
    <x:row r="193" ht="15" hidden="0" customHeight="1">
      <x:c r="A193" s="92" t="n">
        <x:v>215.5</x:v>
      </x:c>
      <x:c r="B193" s="92" t="n">
        <x:f>SQRT('拟合与方案'!$B$7^2+('拟合与方案'!$C$7*(A193-'拟合与方案'!$D$7))^2)</x:f>
        <x:v>1175.881415910193</x:v>
      </x:c>
      <x:c r="C193" s="92" t="n">
        <x:f>SQRT('拟合与方案'!$B$8^2+('拟合与方案'!$C$8*(A193-'拟合与方案'!$D$8))^2)</x:f>
        <x:v>1002.2319186972411</x:v>
      </x:c>
      <x:c r="D193" s="92" t="n">
        <x:f>MAX(B193,C193)/MIN(B193,C193)</x:f>
        <x:v>1.1732627887551932</x:v>
      </x:c>
      <x:c r="E193" s="92" t="str">
        <x:f>IF(A193&lt;'拟合与方案'!$C$13,"",SQRT('拟合与方案'!$F$13^2+('拟合与方案'!$G$13*(A193-'拟合与方案'!$H$13))^2))</x:f>
      </x:c>
      <x:c r="F193" s="92" t="n">
        <x:f>C193</x:f>
        <x:v>1002.2319186972411</x:v>
      </x:c>
      <x:c r="G193" s="92" t="str">
        <x:f>IF(E193="","",MAX(E193,F193)/MIN(E193,F193))</x:f>
      </x:c>
      <x:c r="H193" s="92" t="str">
        <x:f>IF(A193&lt;'拟合与方案'!$C$15,"",SQRT('拟合与方案'!$F$15^2+('拟合与方案'!$G$15*(A193-'拟合与方案'!$H$15))^2))</x:f>
      </x:c>
      <x:c r="I193" s="92" t="n">
        <x:f>C193</x:f>
        <x:v>1002.2319186972411</x:v>
      </x:c>
      <x:c r="J193" s="92" t="str">
        <x:f>IF(H193="","",MAX(H193,I193)/MIN(H193,I193))</x:f>
      </x:c>
    </x:row>
    <x:row r="194" ht="15" hidden="0" customHeight="1">
      <x:c r="A194" s="92" t="n">
        <x:v>216</x:v>
      </x:c>
      <x:c r="B194" s="92" t="n">
        <x:f>SQRT('拟合与方案'!$B$7^2+('拟合与方案'!$C$7*(A194-'拟合与方案'!$D$7))^2)</x:f>
        <x:v>1163.1017814414768</x:v>
      </x:c>
      <x:c r="C194" s="92" t="n">
        <x:f>SQRT('拟合与方案'!$B$8^2+('拟合与方案'!$C$8*(A194-'拟合与方案'!$D$8))^2)</x:f>
        <x:v>983.6894844060645</x:v>
      </x:c>
      <x:c r="D194" s="92" t="n">
        <x:f>MAX(B194,C194)/MIN(B194,C194)</x:f>
        <x:v>1.1823871250832152</x:v>
      </x:c>
      <x:c r="E194" s="92" t="str">
        <x:f>IF(A194&lt;'拟合与方案'!$C$13,"",SQRT('拟合与方案'!$F$13^2+('拟合与方案'!$G$13*(A194-'拟合与方案'!$H$13))^2))</x:f>
      </x:c>
      <x:c r="F194" s="92" t="n">
        <x:f>C194</x:f>
        <x:v>983.6894844060645</x:v>
      </x:c>
      <x:c r="G194" s="92" t="str">
        <x:f>IF(E194="","",MAX(E194,F194)/MIN(E194,F194))</x:f>
      </x:c>
      <x:c r="H194" s="92" t="str">
        <x:f>IF(A194&lt;'拟合与方案'!$C$15,"",SQRT('拟合与方案'!$F$15^2+('拟合与方案'!$G$15*(A194-'拟合与方案'!$H$15))^2))</x:f>
      </x:c>
      <x:c r="I194" s="92" t="n">
        <x:f>C194</x:f>
        <x:v>983.6894844060645</x:v>
      </x:c>
      <x:c r="J194" s="92" t="str">
        <x:f>IF(H194="","",MAX(H194,I194)/MIN(H194,I194))</x:f>
      </x:c>
    </x:row>
    <x:row r="195" ht="15" hidden="0" customHeight="1">
      <x:c r="A195" s="92" t="n">
        <x:v>216.5</x:v>
      </x:c>
      <x:c r="B195" s="92" t="n">
        <x:f>SQRT('拟合与方案'!$B$7^2+('拟合与方案'!$C$7*(A195-'拟合与方案'!$D$7))^2)</x:f>
        <x:v>1150.5187849636293</x:v>
      </x:c>
      <x:c r="C195" s="92" t="n">
        <x:f>SQRT('拟合与方案'!$B$8^2+('拟合与方案'!$C$8*(A195-'拟合与方案'!$D$8))^2)</x:f>
        <x:v>965.2781608226298</x:v>
      </x:c>
      <x:c r="D195" s="92" t="n">
        <x:f>MAX(B195,C195)/MIN(B195,C195)</x:f>
        <x:v>1.191903879792674</x:v>
      </x:c>
      <x:c r="E195" s="92" t="str">
        <x:f>IF(A195&lt;'拟合与方案'!$C$13,"",SQRT('拟合与方案'!$F$13^2+('拟合与方案'!$G$13*(A195-'拟合与方案'!$H$13))^2))</x:f>
      </x:c>
      <x:c r="F195" s="92" t="n">
        <x:f>C195</x:f>
        <x:v>965.2781608226298</x:v>
      </x:c>
      <x:c r="G195" s="92" t="str">
        <x:f>IF(E195="","",MAX(E195,F195)/MIN(E195,F195))</x:f>
      </x:c>
      <x:c r="H195" s="92" t="str">
        <x:f>IF(A195&lt;'拟合与方案'!$C$15,"",SQRT('拟合与方案'!$F$15^2+('拟合与方案'!$G$15*(A195-'拟合与方案'!$H$15))^2))</x:f>
      </x:c>
      <x:c r="I195" s="92" t="n">
        <x:f>C195</x:f>
        <x:v>965.2781608226298</x:v>
      </x:c>
      <x:c r="J195" s="92" t="str">
        <x:f>IF(H195="","",MAX(H195,I195)/MIN(H195,I195))</x:f>
      </x:c>
    </x:row>
    <x:row r="196" ht="15" hidden="0" customHeight="1">
      <x:c r="A196" s="92" t="n">
        <x:v>217</x:v>
      </x:c>
      <x:c r="B196" s="92" t="n">
        <x:f>SQRT('拟合与方案'!$B$7^2+('拟合与方案'!$C$7*(A196-'拟合与方案'!$D$7))^2)</x:f>
        <x:v>1138.1389484454469</x:v>
      </x:c>
      <x:c r="C196" s="92" t="n">
        <x:f>SQRT('拟合与方案'!$B$8^2+('拟合与方案'!$C$8*(A196-'拟合与方案'!$D$8))^2)</x:f>
        <x:v>947.0055949917625</x:v>
      </x:c>
      <x:c r="D196" s="92" t="n">
        <x:f>MAX(B196,C196)/MIN(B196,C196)</x:f>
        <x:v>1.2018291702440755</x:v>
      </x:c>
      <x:c r="E196" s="92" t="str">
        <x:f>IF(A196&lt;'拟合与方案'!$C$13,"",SQRT('拟合与方案'!$F$13^2+('拟合与方案'!$G$13*(A196-'拟合与方案'!$H$13))^2))</x:f>
      </x:c>
      <x:c r="F196" s="92" t="n">
        <x:f>C196</x:f>
        <x:v>947.0055949917625</x:v>
      </x:c>
      <x:c r="G196" s="92" t="str">
        <x:f>IF(E196="","",MAX(E196,F196)/MIN(E196,F196))</x:f>
      </x:c>
      <x:c r="H196" s="92" t="str">
        <x:f>IF(A196&lt;'拟合与方案'!$C$15,"",SQRT('拟合与方案'!$F$15^2+('拟合与方案'!$G$15*(A196-'拟合与方案'!$H$15))^2))</x:f>
      </x:c>
      <x:c r="I196" s="92" t="n">
        <x:f>C196</x:f>
        <x:v>947.0055949917625</x:v>
      </x:c>
      <x:c r="J196" s="92" t="str">
        <x:f>IF(H196="","",MAX(H196,I196)/MIN(H196,I196))</x:f>
      </x:c>
    </x:row>
    <x:row r="197" ht="15" hidden="0" customHeight="1">
      <x:c r="A197" s="92" t="n">
        <x:v>217.5</x:v>
      </x:c>
      <x:c r="B197" s="92" t="n">
        <x:f>SQRT('拟合与方案'!$B$7^2+('拟合与方案'!$C$7*(A197-'拟合与方案'!$D$7))^2)</x:f>
        <x:v>1125.9689730340276</x:v>
      </x:c>
      <x:c r="C197" s="92" t="n">
        <x:f>SQRT('拟合与方案'!$B$8^2+('拟合与方案'!$C$8*(A197-'拟合与方案'!$D$8))^2)</x:f>
        <x:v>928.8799757152802</x:v>
      </x:c>
      <x:c r="D197" s="92" t="n">
        <x:f>MAX(B197,C197)/MIN(B197,C197)</x:f>
        <x:v>1.2121791861935443</x:v>
      </x:c>
      <x:c r="E197" s="92" t="str">
        <x:f>IF(A197&lt;'拟合与方案'!$C$13,"",SQRT('拟合与方案'!$F$13^2+('拟合与方案'!$G$13*(A197-'拟合与方案'!$H$13))^2))</x:f>
      </x:c>
      <x:c r="F197" s="92" t="n">
        <x:f>C197</x:f>
        <x:v>928.8799757152802</x:v>
      </x:c>
      <x:c r="G197" s="92" t="str">
        <x:f>IF(E197="","",MAX(E197,F197)/MIN(E197,F197))</x:f>
      </x:c>
      <x:c r="H197" s="92" t="str">
        <x:f>IF(A197&lt;'拟合与方案'!$C$15,"",SQRT('拟合与方案'!$F$15^2+('拟合与方案'!$G$15*(A197-'拟合与方案'!$H$15))^2))</x:f>
      </x:c>
      <x:c r="I197" s="92" t="n">
        <x:f>C197</x:f>
        <x:v>928.8799757152802</x:v>
      </x:c>
      <x:c r="J197" s="92" t="str">
        <x:f>IF(H197="","",MAX(H197,I197)/MIN(H197,I197))</x:f>
      </x:c>
    </x:row>
    <x:row r="198" ht="15" hidden="0" customHeight="1">
      <x:c r="A198" s="92" t="n">
        <x:v>218</x:v>
      </x:c>
      <x:c r="B198" s="92" t="n">
        <x:f>SQRT('拟合与方案'!$B$7^2+('拟合与方案'!$C$7*(A198-'拟合与方案'!$D$7))^2)</x:f>
        <x:v>1114.015736583003</x:v>
      </x:c>
      <x:c r="C198" s="92" t="n">
        <x:f>SQRT('拟合与方案'!$B$8^2+('拟合与方案'!$C$8*(A198-'拟合与方案'!$D$8))^2)</x:f>
        <x:v>910.9100750230349</x:v>
      </x:c>
      <x:c r="D198" s="92" t="n">
        <x:f>MAX(B198,C198)/MIN(B198,C198)</x:f>
        <x:v>1.2229700462527346</x:v>
      </x:c>
      <x:c r="E198" s="92" t="str">
        <x:f>IF(A198&lt;'拟合与方案'!$C$13,"",SQRT('拟合与方案'!$F$13^2+('拟合与方案'!$G$13*(A198-'拟合与方案'!$H$13))^2))</x:f>
      </x:c>
      <x:c r="F198" s="92" t="n">
        <x:f>C198</x:f>
        <x:v>910.9100750230349</x:v>
      </x:c>
      <x:c r="G198" s="92" t="str">
        <x:f>IF(E198="","",MAX(E198,F198)/MIN(E198,F198))</x:f>
      </x:c>
      <x:c r="H198" s="92" t="str">
        <x:f>IF(A198&lt;'拟合与方案'!$C$15,"",SQRT('拟合与方案'!$F$15^2+('拟合与方案'!$G$15*(A198-'拟合与方案'!$H$15))^2))</x:f>
      </x:c>
      <x:c r="I198" s="92" t="n">
        <x:f>C198</x:f>
        <x:v>910.9100750230349</x:v>
      </x:c>
      <x:c r="J198" s="92" t="str">
        <x:f>IF(H198="","",MAX(H198,I198)/MIN(H198,I198))</x:f>
      </x:c>
    </x:row>
    <x:row r="199" ht="15" hidden="0" customHeight="1">
      <x:c r="A199" s="92" t="n">
        <x:v>218.5</x:v>
      </x:c>
      <x:c r="B199" s="92" t="n">
        <x:f>SQRT('拟合与方案'!$B$7^2+('拟合与方案'!$C$7*(A199-'拟合与方案'!$D$7))^2)</x:f>
        <x:v>1102.2862900926928</x:v>
      </x:c>
      <x:c r="C199" s="92" t="n">
        <x:f>SQRT('拟合与方案'!$B$8^2+('拟合与方案'!$C$8*(A199-'拟合与方案'!$D$8))^2)</x:f>
        <x:v>893.1052924636916</x:v>
      </x:c>
      <x:c r="D199" s="92" t="n">
        <x:f>MAX(B199,C199)/MIN(B199,C199)</x:f>
        <x:v>1.2342176218124978</x:v>
      </x:c>
      <x:c r="E199" s="92" t="str">
        <x:f>IF(A199&lt;'拟合与方案'!$C$13,"",SQRT('拟合与方案'!$F$13^2+('拟合与方案'!$G$13*(A199-'拟合与方案'!$H$13))^2))</x:f>
      </x:c>
      <x:c r="F199" s="92" t="n">
        <x:f>C199</x:f>
        <x:v>893.1052924636916</x:v>
      </x:c>
      <x:c r="G199" s="92" t="str">
        <x:f>IF(E199="","",MAX(E199,F199)/MIN(E199,F199))</x:f>
      </x:c>
      <x:c r="H199" s="92" t="str">
        <x:f>IF(A199&lt;'拟合与方案'!$C$15,"",SQRT('拟合与方案'!$F$15^2+('拟合与方案'!$G$15*(A199-'拟合与方案'!$H$15))^2))</x:f>
      </x:c>
      <x:c r="I199" s="92" t="n">
        <x:f>C199</x:f>
        <x:v>893.1052924636916</x:v>
      </x:c>
      <x:c r="J199" s="92" t="str">
        <x:f>IF(H199="","",MAX(H199,I199)/MIN(H199,I199))</x:f>
      </x:c>
    </x:row>
    <x:row r="200" ht="15" hidden="0" customHeight="1">
      <x:c r="A200" s="92" t="n">
        <x:v>219</x:v>
      </x:c>
      <x:c r="B200" s="92" t="n">
        <x:f>SQRT('拟合与方案'!$B$7^2+('拟合与方案'!$C$7*(A200-'拟合与方案'!$D$7))^2)</x:f>
        <x:v>1090.787852953326</x:v>
      </x:c>
      <x:c r="C200" s="92" t="n">
        <x:f>SQRT('拟合与方案'!$B$8^2+('拟合与方案'!$C$8*(A200-'拟合与方案'!$D$8))^2)</x:f>
        <x:v>875.4757022495687</x:v>
      </x:c>
      <x:c r="D200" s="92" t="n">
        <x:f>MAX(B200,C200)/MIN(B200,C200)</x:f>
        <x:v>1.2459373231610018</x:v>
      </x:c>
      <x:c r="E200" s="92" t="str">
        <x:f>IF(A200&lt;'拟合与方案'!$C$13,"",SQRT('拟合与方案'!$F$13^2+('拟合与方案'!$G$13*(A200-'拟合与方案'!$H$13))^2))</x:f>
      </x:c>
      <x:c r="F200" s="92" t="n">
        <x:f>C200</x:f>
        <x:v>875.4757022495687</x:v>
      </x:c>
      <x:c r="G200" s="92" t="str">
        <x:f>IF(E200="","",MAX(E200,F200)/MIN(E200,F200))</x:f>
      </x:c>
      <x:c r="H200" s="92" t="str">
        <x:f>IF(A200&lt;'拟合与方案'!$C$15,"",SQRT('拟合与方案'!$F$15^2+('拟合与方案'!$G$15*(A200-'拟合与方案'!$H$15))^2))</x:f>
      </x:c>
      <x:c r="I200" s="92" t="n">
        <x:f>C200</x:f>
        <x:v>875.4757022495687</x:v>
      </x:c>
      <x:c r="J200" s="92" t="str">
        <x:f>IF(H200="","",MAX(H200,I200)/MIN(H200,I200))</x:f>
      </x:c>
    </x:row>
    <x:row r="201" ht="15" hidden="0" customHeight="1">
      <x:c r="A201" s="92" t="n">
        <x:v>219.5</x:v>
      </x:c>
      <x:c r="B201" s="92" t="n">
        <x:f>SQRT('拟合与方案'!$B$7^2+('拟合与方案'!$C$7*(A201-'拟合与方案'!$D$7))^2)</x:f>
        <x:v>1079.5278068800328</x:v>
      </x:c>
      <x:c r="C201" s="92" t="n">
        <x:f>SQRT('拟合与方案'!$B$8^2+('拟合与方案'!$C$8*(A201-'拟合与方案'!$D$8))^2)</x:f>
        <x:v>858.0321032377684</x:v>
      </x:c>
      <x:c r="D201" s="92" t="n">
        <x:f>MAX(B201,C201)/MIN(B201,C201)</x:f>
        <x:v>1.2581438419453705</x:v>
      </x:c>
      <x:c r="E201" s="92" t="n">
        <x:f>IF(A201&lt;'拟合与方案'!$C$13,"",SQRT('拟合与方案'!$F$13^2+('拟合与方案'!$G$13*(A201-'拟合与方案'!$H$13))^2))</x:f>
        <x:v>1078.1040167690549</x:v>
      </x:c>
      <x:c r="F201" s="92" t="n">
        <x:f>C201</x:f>
        <x:v>858.0321032377684</x:v>
      </x:c>
      <x:c r="G201" s="92" t="n">
        <x:f>IF(E201="","",MAX(E201,F201)/MIN(E201,F201))</x:f>
        <x:v>1.2564844749990696</x:v>
      </x:c>
      <x:c r="H201" s="92" t="str">
        <x:f>IF(A201&lt;'拟合与方案'!$C$15,"",SQRT('拟合与方案'!$F$15^2+('拟合与方案'!$G$15*(A201-'拟合与方案'!$H$15))^2))</x:f>
      </x:c>
      <x:c r="I201" s="92" t="n">
        <x:f>C201</x:f>
        <x:v>858.0321032377684</x:v>
      </x:c>
      <x:c r="J201" s="92" t="str">
        <x:f>IF(H201="","",MAX(H201,I201)/MIN(H201,I201))</x:f>
      </x:c>
    </x:row>
    <x:row r="202" ht="15" hidden="0" customHeight="1">
      <x:c r="A202" s="92" t="n">
        <x:v>220</x:v>
      </x:c>
      <x:c r="B202" s="92" t="n">
        <x:f>SQRT('拟合与方案'!$B$7^2+('拟合与方案'!$C$7*(A202-'拟合与方案'!$D$7))^2)</x:f>
        <x:v>1068.5136884272347</x:v>
      </x:c>
      <x:c r="C202" s="92" t="n">
        <x:f>SQRT('拟合与方案'!$B$8^2+('拟合与方案'!$C$8*(A202-'拟合与方案'!$D$8))^2)</x:f>
        <x:v>840.7860716605713</x:v>
      </x:c>
      <x:c r="D202" s="92" t="n">
        <x:f>MAX(B202,C202)/MIN(B202,C202)</x:f>
        <x:v>1.2708508435646373</x:v>
      </x:c>
      <x:c r="E202" s="92" t="n">
        <x:f>IF(A202&lt;'拟合与方案'!$C$13,"",SQRT('拟合与方案'!$F$13^2+('拟合与方案'!$G$13*(A202-'拟合与方案'!$H$13))^2))</x:f>
        <x:v>1056.2817635526874</x:v>
      </x:c>
      <x:c r="F202" s="92" t="n">
        <x:f>C202</x:f>
        <x:v>840.7860716605713</x:v>
      </x:c>
      <x:c r="G202" s="92" t="n">
        <x:f>IF(E202="","",MAX(E202,F202)/MIN(E202,F202))</x:f>
        <x:v>1.2563026424385304</x:v>
      </x:c>
      <x:c r="H202" s="92" t="str">
        <x:f>IF(A202&lt;'拟合与方案'!$C$15,"",SQRT('拟合与方案'!$F$15^2+('拟合与方案'!$G$15*(A202-'拟合与方案'!$H$15))^2))</x:f>
      </x:c>
      <x:c r="I202" s="92" t="n">
        <x:f>C202</x:f>
        <x:v>840.7860716605713</x:v>
      </x:c>
      <x:c r="J202" s="92" t="str">
        <x:f>IF(H202="","",MAX(H202,I202)/MIN(H202,I202))</x:f>
      </x:c>
    </x:row>
    <x:row r="203" ht="15" hidden="0" customHeight="1">
      <x:c r="A203" s="92" t="n">
        <x:v>220.5</x:v>
      </x:c>
      <x:c r="B203" s="92" t="n">
        <x:f>SQRT('拟合与方案'!$B$7^2+('拟合与方案'!$C$7*(A203-'拟合与方案'!$D$7))^2)</x:f>
        <x:v>1057.7531799706428</x:v>
      </x:c>
      <x:c r="C203" s="92" t="n">
        <x:f>SQRT('拟合与方案'!$B$8^2+('拟合与方案'!$C$8*(A203-'拟合与方案'!$D$8))^2)</x:f>
        <x:v>823.7500164277608</x:v>
      </x:c>
      <x:c r="D203" s="92" t="n">
        <x:f>MAX(B203,C203)/MIN(B203,C203)</x:f>
        <x:v>1.2840706025811692</x:v>
      </x:c>
      <x:c r="E203" s="92" t="n">
        <x:f>IF(A203&lt;'拟合与方案'!$C$13,"",SQRT('拟合与方案'!$F$13^2+('拟合与方案'!$G$13*(A203-'拟合与方案'!$H$13))^2))</x:f>
        <x:v>1034.7221160412998</x:v>
      </x:c>
      <x:c r="F203" s="92" t="n">
        <x:f>C203</x:f>
        <x:v>823.7500164277608</x:v>
      </x:c>
      <x:c r="G203" s="92" t="n">
        <x:f>IF(E203="","",MAX(E203,F203)/MIN(E203,F203))</x:f>
        <x:v>1.2561118001896154</x:v>
      </x:c>
      <x:c r="H203" s="92" t="str">
        <x:f>IF(A203&lt;'拟合与方案'!$C$15,"",SQRT('拟合与方案'!$F$15^2+('拟合与方案'!$G$15*(A203-'拟合与方案'!$H$15))^2))</x:f>
      </x:c>
      <x:c r="I203" s="92" t="n">
        <x:f>C203</x:f>
        <x:v>823.7500164277608</x:v>
      </x:c>
      <x:c r="J203" s="92" t="str">
        <x:f>IF(H203="","",MAX(H203,I203)/MIN(H203,I203))</x:f>
      </x:c>
    </x:row>
    <x:row r="204" ht="15" hidden="0" customHeight="1">
      <x:c r="A204" s="92" t="n">
        <x:v>221</x:v>
      </x:c>
      <x:c r="B204" s="92" t="n">
        <x:f>SQRT('拟合与方案'!$B$7^2+('拟合与方案'!$C$7*(A204-'拟合与方案'!$D$7))^2)</x:f>
        <x:v>1047.2540990476539</x:v>
      </x:c>
      <x:c r="C204" s="92" t="n">
        <x:f>SQRT('拟合与方案'!$B$8^2+('拟合与方案'!$C$8*(A204-'拟合与方案'!$D$8))^2)</x:f>
        <x:v>806.937236707782</x:v>
      </x:c>
      <x:c r="D204" s="92" t="n">
        <x:f>MAX(B204,C204)/MIN(B204,C204)</x:f>
        <x:v>1.2978135738540697</x:v>
      </x:c>
      <x:c r="E204" s="92" t="n">
        <x:f>IF(A204&lt;'拟合与方案'!$C$13,"",SQRT('拟合与方案'!$F$13^2+('拟合与方案'!$G$13*(A204-'拟合与方案'!$H$13))^2))</x:f>
        <x:v>1013.4418341506331</x:v>
      </x:c>
      <x:c r="F204" s="92" t="n">
        <x:f>C204</x:f>
        <x:v>806.937236707782</x:v>
      </x:c>
      <x:c r="G204" s="92" t="n">
        <x:f>IF(E204="","",MAX(E204,F204)/MIN(E204,F204))</x:f>
        <x:v>1.255911597642176</x:v>
      </x:c>
      <x:c r="H204" s="92" t="str">
        <x:f>IF(A204&lt;'拟合与方案'!$C$15,"",SQRT('拟合与方案'!$F$15^2+('拟合与方案'!$G$15*(A204-'拟合与方案'!$H$15))^2))</x:f>
      </x:c>
      <x:c r="I204" s="92" t="n">
        <x:f>C204</x:f>
        <x:v>806.937236707782</x:v>
      </x:c>
      <x:c r="J204" s="92" t="str">
        <x:f>IF(H204="","",MAX(H204,I204)/MIN(H204,I204))</x:f>
      </x:c>
    </x:row>
    <x:row r="205" ht="15" hidden="0" customHeight="1">
      <x:c r="A205" s="92" t="n">
        <x:v>221.5</x:v>
      </x:c>
      <x:c r="B205" s="92" t="n">
        <x:f>SQRT('拟合与方案'!$B$7^2+('拟合与方案'!$C$7*(A205-'拟合与方案'!$D$7))^2)</x:f>
        <x:v>1037.0243859517927</x:v>
      </x:c>
      <x:c r="C205" s="92" t="n">
        <x:f>SQRT('拟合与方案'!$B$8^2+('拟合与方案'!$C$8*(A205-'拟合与方案'!$D$8))^2)</x:f>
        <x:v>790.361981348407</x:v>
      </x:c>
      <x:c r="D205" s="92" t="n">
        <x:f>MAX(B205,C205)/MIN(B205,C205)</x:f>
        <x:v>1.3120878919081662</x:v>
      </x:c>
      <x:c r="E205" s="92" t="n">
        <x:f>IF(A205&lt;'拟合与方案'!$C$13,"",SQRT('拟合与方案'!$F$13^2+('拟合与方案'!$G$13*(A205-'拟合与方案'!$H$13))^2))</x:f>
        <x:v>992.4588884980669</x:v>
      </x:c>
      <x:c r="F205" s="92" t="n">
        <x:f>C205</x:f>
        <x:v>790.361981348407</x:v>
      </x:c>
      <x:c r="G205" s="92" t="n">
        <x:f>IF(E205="","",MAX(E205,F205)/MIN(E205,F205))</x:f>
        <x:v>1.2557017062041242</x:v>
      </x:c>
      <x:c r="H205" s="92" t="str">
        <x:f>IF(A205&lt;'拟合与方案'!$C$15,"",SQRT('拟合与方案'!$F$15^2+('拟合与方案'!$G$15*(A205-'拟合与方案'!$H$15))^2))</x:f>
      </x:c>
      <x:c r="I205" s="92" t="n">
        <x:f>C205</x:f>
        <x:v>790.361981348407</x:v>
      </x:c>
      <x:c r="J205" s="92" t="str">
        <x:f>IF(H205="","",MAX(H205,I205)/MIN(H205,I205))</x:f>
      </x:c>
    </x:row>
    <x:row r="206" ht="15" hidden="0" customHeight="1">
      <x:c r="A206" s="92" t="n">
        <x:v>222</x:v>
      </x:c>
      <x:c r="B206" s="92" t="n">
        <x:f>SQRT('拟合与方案'!$B$7^2+('拟合与方案'!$C$7*(A206-'拟合与方案'!$D$7))^2)</x:f>
        <x:v>1027.0720894843485</x:v>
      </x:c>
      <x:c r="C206" s="92" t="n">
        <x:f>SQRT('拟合与方案'!$B$8^2+('拟合与方案'!$C$8*(A206-'拟合与方案'!$D$8))^2)</x:f>
        <x:v>774.0395095154396</x:v>
      </x:c>
      <x:c r="D206" s="92" t="n">
        <x:f>MAX(B206,C206)/MIN(B206,C206)</x:f>
        <x:v>1.3268987911577164</x:v>
      </x:c>
      <x:c r="E206" s="92" t="n">
        <x:f>IF(A206&lt;'拟合与方案'!$C$13,"",SQRT('拟合与方案'!$F$13^2+('拟合与方案'!$G$13*(A206-'拟合与方案'!$H$13))^2))</x:f>
        <x:v>971.7925395276721</x:v>
      </x:c>
      <x:c r="F206" s="92" t="n">
        <x:f>C206</x:f>
        <x:v>774.0395095154396</x:v>
      </x:c>
      <x:c r="G206" s="92" t="n">
        <x:f>IF(E206="","",MAX(E206,F206)/MIN(E206,F206))</x:f>
        <x:v>1.2554818295206003</x:v>
      </x:c>
      <x:c r="H206" s="92" t="str">
        <x:f>IF(A206&lt;'拟合与方案'!$C$15,"",SQRT('拟合与方案'!$F$15^2+('拟合与方案'!$G$15*(A206-'拟合与方案'!$H$15))^2))</x:f>
      </x:c>
      <x:c r="I206" s="92" t="n">
        <x:f>C206</x:f>
        <x:v>774.0395095154396</x:v>
      </x:c>
      <x:c r="J206" s="92" t="str">
        <x:f>IF(H206="","",MAX(H206,I206)/MIN(H206,I206))</x:f>
      </x:c>
    </x:row>
    <x:row r="207" ht="15" hidden="0" customHeight="1">
      <x:c r="A207" s="92" t="n">
        <x:v>222.5</x:v>
      </x:c>
      <x:c r="B207" s="92" t="n">
        <x:f>SQRT('拟合与方案'!$B$7^2+('拟合与方案'!$C$7*(A207-'拟合与方案'!$D$7))^2)</x:f>
        <x:v>1017.4053507768036</x:v>
      </x:c>
      <x:c r="C207" s="92" t="n">
        <x:f>SQRT('拟合与方案'!$B$8^2+('拟合与方案'!$C$8*(A207-'拟合与方案'!$D$8))^2)</x:f>
        <x:v>757.9861517042108</x:v>
      </x:c>
      <x:c r="D207" s="92" t="n">
        <x:f>MAX(B207,C207)/MIN(B207,C207)</x:f>
        <x:v>1.3422479401362812</x:v>
      </x:c>
      <x:c r="E207" s="92" t="n">
        <x:f>IF(A207&lt;'拟合与方案'!$C$13,"",SQRT('拟合与方案'!$F$13^2+('拟合与方案'!$G$13*(A207-'拟合与方案'!$H$13))^2))</x:f>
        <x:v>951.4634174654698</x:v>
      </x:c>
      <x:c r="F207" s="92" t="n">
        <x:f>C207</x:f>
        <x:v>757.9861517042108</x:v>
      </x:c>
      <x:c r="G207" s="92" t="n">
        <x:f>IF(E207="","",MAX(E207,F207)/MIN(E207,F207))</x:f>
        <x:v>1.2552517157816885</x:v>
      </x:c>
      <x:c r="H207" s="92" t="str">
        <x:f>IF(A207&lt;'拟合与方案'!$C$15,"",SQRT('拟合与方案'!$F$15^2+('拟合与方案'!$G$15*(A207-'拟合与方案'!$H$15))^2))</x:f>
      </x:c>
      <x:c r="I207" s="92" t="n">
        <x:f>C207</x:f>
        <x:v>757.9861517042108</x:v>
      </x:c>
      <x:c r="J207" s="92" t="str">
        <x:f>IF(H207="","",MAX(H207,I207)/MIN(H207,I207))</x:f>
      </x:c>
    </x:row>
    <x:row r="208" ht="15" hidden="0" customHeight="1">
      <x:c r="A208" s="92" t="n">
        <x:v>223</x:v>
      </x:c>
      <x:c r="B208" s="92" t="n">
        <x:f>SQRT('拟合与方案'!$B$7^2+('拟合与方案'!$C$7*(A208-'拟合与方案'!$D$7))^2)</x:f>
        <x:v>1008.0323851113462</x:v>
      </x:c>
      <x:c r="C208" s="92" t="n">
        <x:f>SQRT('拟合与方案'!$B$8^2+('拟合与方案'!$C$8*(A208-'拟合与方案'!$D$8))^2)</x:f>
        <x:v>742.2193700075126</x:v>
      </x:c>
      <x:c r="D208" s="92" t="n">
        <x:f>MAX(B208,C208)/MIN(B208,C208)</x:f>
        <x:v>1.3581326840084262</x:v>
      </x:c>
      <x:c r="E208" s="92" t="n">
        <x:f>IF(A208&lt;'拟合与方案'!$C$13,"",SQRT('拟合与方案'!$F$13^2+('拟合与方案'!$G$13*(A208-'拟合与方案'!$H$13))^2))</x:f>
        <x:v>931.4936017166754</x:v>
      </x:c>
      <x:c r="F208" s="92" t="n">
        <x:f>C208</x:f>
        <x:v>742.2193700075126</x:v>
      </x:c>
      <x:c r="G208" s="92" t="n">
        <x:f>IF(E208="","",MAX(E208,F208)/MIN(E208,F208))</x:f>
        <x:v>1.2550111723805417</x:v>
      </x:c>
      <x:c r="H208" s="92" t="n">
        <x:f>IF(A208&lt;'拟合与方案'!$C$15,"",SQRT('拟合与方案'!$F$15^2+('拟合与方案'!$G$15*(A208-'拟合与方案'!$H$15))^2))</x:f>
        <x:v>992.7644345704932</x:v>
      </x:c>
      <x:c r="I208" s="92" t="n">
        <x:f>C208</x:f>
        <x:v>742.2193700075126</x:v>
      </x:c>
      <x:c r="J208" s="92" t="n">
        <x:f>IF(H208="","",MAX(H208,I208)/MIN(H208,I208))</x:f>
        <x:v>1.3375620129133046</x:v>
      </x:c>
    </x:row>
    <x:row r="209" ht="15" hidden="0" customHeight="1">
      <x:c r="A209" s="92" t="n">
        <x:v>223.5</x:v>
      </x:c>
      <x:c r="B209" s="92" t="n">
        <x:f>SQRT('拟合与方案'!$B$7^2+('拟合与方案'!$C$7*(A209-'拟合与方案'!$D$7))^2)</x:f>
        <x:v>998.9614616839536</x:v>
      </x:c>
      <x:c r="C209" s="92" t="n">
        <x:f>SQRT('拟合与方案'!$B$8^2+('拟合与方案'!$C$8*(A209-'拟合与方案'!$D$8))^2)</x:f>
        <x:v>726.7578162000552</x:v>
      </x:c>
      <x:c r="D209" s="92" t="n">
        <x:f>MAX(B209,C209)/MIN(B209,C209)</x:f>
        <x:v>1.3745451915565896</x:v>
      </x:c>
      <x:c r="E209" s="92" t="n">
        <x:f>IF(A209&lt;'拟合与方案'!$C$13,"",SQRT('拟合与方案'!$F$13^2+('拟合与方案'!$G$13*(A209-'拟合与方案'!$H$13))^2))</x:f>
        <x:v>911.9066978993752</x:v>
      </x:c>
      <x:c r="F209" s="92" t="n">
        <x:f>C209</x:f>
        <x:v>726.7578162000552</x:v>
      </x:c>
      <x:c r="G209" s="92" t="n">
        <x:f>IF(E209="","",MAX(E209,F209)/MIN(E209,F209))</x:f>
        <x:v>1.254760083169651</x:v>
      </x:c>
      <x:c r="H209" s="92" t="n">
        <x:f>IF(A209&lt;'拟合与方案'!$C$15,"",SQRT('拟合与方案'!$F$15^2+('拟合与方案'!$G$15*(A209-'拟合与方案'!$H$15))^2))</x:f>
        <x:v>963.7256727011304</x:v>
      </x:c>
      <x:c r="I209" s="92" t="n">
        <x:f>C209</x:f>
        <x:v>726.7578162000552</x:v>
      </x:c>
      <x:c r="J209" s="92" t="n">
        <x:f>IF(H209="","",MAX(H209,I209)/MIN(H209,I209))</x:f>
        <x:v>1.326061655229374</x:v>
      </x:c>
    </x:row>
    <x:row r="210" ht="15" hidden="0" customHeight="1">
      <x:c r="A210" s="92" t="n">
        <x:v>224</x:v>
      </x:c>
      <x:c r="B210" s="92" t="n">
        <x:f>SQRT('拟合与方案'!$B$7^2+('拟合与方案'!$C$7*(A210-'拟合与方案'!$D$7))^2)</x:f>
        <x:v>990.200881275454</x:v>
      </x:c>
      <x:c r="C210" s="92" t="n">
        <x:f>SQRT('拟合与方案'!$B$8^2+('拟合与方案'!$C$8*(A210-'拟合与方案'!$D$8))^2)</x:f>
        <x:v>711.6213858196867</x:v>
      </x:c>
      <x:c r="D210" s="92" t="n">
        <x:f>MAX(B210,C210)/MIN(B210,C210)</x:f>
        <x:v>1.3914715057851772</x:v>
      </x:c>
      <x:c r="E210" s="92" t="n">
        <x:f>IF(A210&lt;'拟合与方案'!$C$13,"",SQRT('拟合与方案'!$F$13^2+('拟合与方案'!$G$13*(A210-'拟合与方案'!$H$13))^2))</x:f>
        <x:v>892.7279102162008</x:v>
      </x:c>
      <x:c r="F210" s="92" t="n">
        <x:f>C210</x:f>
        <x:v>711.6213858196867</x:v>
      </x:c>
      <x:c r="G210" s="92" t="n">
        <x:f>IF(E210="","",MAX(E210,F210)/MIN(E210,F210))</x:f>
        <x:v>1.254498428525873</x:v>
      </x:c>
      <x:c r="H210" s="92" t="n">
        <x:f>IF(A210&lt;'拟合与方案'!$C$15,"",SQRT('拟合与方案'!$F$15^2+('拟合与方案'!$G$15*(A210-'拟合与方案'!$H$15))^2))</x:f>
        <x:v>935.0328325737951</x:v>
      </x:c>
      <x:c r="I210" s="92" t="n">
        <x:f>C210</x:f>
        <x:v>711.6213858196867</x:v>
      </x:c>
      <x:c r="J210" s="92" t="n">
        <x:f>IF(H210="","",MAX(H210,I210)/MIN(H210,I210))</x:f>
        <x:v>1.3139470668054336</x:v>
      </x:c>
    </x:row>
    <x:row r="211" ht="15" hidden="0" customHeight="1">
      <x:c r="A211" s="92" t="n">
        <x:v>224.5</x:v>
      </x:c>
      <x:c r="B211" s="92" t="n">
        <x:f>SQRT('拟合与方案'!$B$7^2+('拟合与方案'!$C$7*(A211-'拟合与方案'!$D$7))^2)</x:f>
        <x:v>981.7589518207121</x:v>
      </x:c>
      <x:c r="C211" s="92" t="n">
        <x:f>SQRT('拟合与方案'!$B$8^2+('拟合与方案'!$C$8*(A211-'拟合与方案'!$D$8))^2)</x:f>
        <x:v>696.8312659880607</x:v>
      </x:c>
      <x:c r="D211" s="92" t="n">
        <x:f>MAX(B211,C211)/MIN(B211,C211)</x:f>
        <x:v>1.408890501531447</x:v>
      </x:c>
      <x:c r="E211" s="92" t="n">
        <x:f>IF(A211&lt;'拟合与方案'!$C$13,"",SQRT('拟合与方案'!$F$13^2+('拟合与方案'!$G$13*(A211-'拟合与方案'!$H$13))^2))</x:f>
        <x:v>873.9841062941779</x:v>
      </x:c>
      <x:c r="F211" s="92" t="n">
        <x:f>C211</x:f>
        <x:v>696.8312659880607</x:v>
      </x:c>
      <x:c r="G211" s="92" t="n">
        <x:f>IF(E211="","",MAX(E211,F211)/MIN(E211,F211))</x:f>
        <x:v>1.2542263083659515</x:v>
      </x:c>
      <x:c r="H211" s="92" t="n">
        <x:f>IF(A211&lt;'拟合与方案'!$C$15,"",SQRT('拟合与方案'!$F$15^2+('拟合与方案'!$G$15*(A211-'拟合与方案'!$H$15))^2))</x:f>
        <x:v>906.7187545492017</x:v>
      </x:c>
      <x:c r="I211" s="92" t="n">
        <x:f>C211</x:f>
        <x:v>696.8312659880607</x:v>
      </x:c>
      <x:c r="J211" s="92" t="n">
        <x:f>IF(H211="","",MAX(H211,I211)/MIN(H211,I211))</x:f>
        <x:v>1.3012027427666213</x:v>
      </x:c>
    </x:row>
    <x:row r="212" ht="15" hidden="0" customHeight="1">
      <x:c r="A212" s="92" t="n">
        <x:v>225</x:v>
      </x:c>
      <x:c r="B212" s="92" t="n">
        <x:f>SQRT('拟合与方案'!$B$7^2+('拟合与方案'!$C$7*(A212-'拟合与方案'!$D$7))^2)</x:f>
        <x:v>973.6439618946928</x:v>
      </x:c>
      <x:c r="C212" s="92" t="n">
        <x:f>SQRT('拟合与方案'!$B$8^2+('拟合与方案'!$C$8*(A212-'拟合与方案'!$D$8))^2)</x:f>
        <x:v>682.4099742205191</x:v>
      </x:c>
      <x:c r="D212" s="92" t="n">
        <x:f>MAX(B212,C212)/MIN(B212,C212)</x:f>
        <x:v>1.4267727593032837</x:v>
      </x:c>
      <x:c r="E212" s="92" t="n">
        <x:f>IF(A212&lt;'拟合与方案'!$C$13,"",SQRT('拟合与方案'!$F$13^2+('拟合与方案'!$G$13*(A212-'拟合与方案'!$H$13))^2))</x:f>
        <x:v>855.7038709748165</x:v>
      </x:c>
      <x:c r="F212" s="92" t="n">
        <x:f>C212</x:f>
        <x:v>682.4099742205191</x:v>
      </x:c>
      <x:c r="G212" s="92" t="n">
        <x:f>IF(E212="","",MAX(E212,F212)/MIN(E212,F212))</x:f>
        <x:v>1.2539439681435516</x:v>
      </x:c>
      <x:c r="H212" s="92" t="n">
        <x:f>IF(A212&lt;'拟合与方案'!$C$15,"",SQRT('拟合与方案'!$F$15^2+('拟合与方案'!$G$15*(A212-'拟合与方案'!$H$15))^2))</x:f>
        <x:v>878.8200485902042</x:v>
      </x:c>
      <x:c r="I212" s="92" t="n">
        <x:f>C212</x:f>
        <x:v>682.4099742205191</x:v>
      </x:c>
      <x:c r="J212" s="92" t="n">
        <x:f>IF(H212="","",MAX(H212,I212)/MIN(H212,I212))</x:f>
        <x:v>1.2878182936790072</x:v>
      </x:c>
    </x:row>
    <x:row r="213" ht="15" hidden="0" customHeight="1">
      <x:c r="A213" s="92" t="n">
        <x:v>225.5</x:v>
      </x:c>
      <x:c r="B213" s="92" t="n">
        <x:f>SQRT('拟合与方案'!$B$7^2+('拟合与方案'!$C$7*(A213-'拟合与方案'!$D$7))^2)</x:f>
        <x:v>965.8641521665238</x:v>
      </x:c>
      <x:c r="C213" s="92" t="n">
        <x:f>SQRT('拟合与方案'!$B$8^2+('拟合与方案'!$C$8*(A213-'拟合与方案'!$D$8))^2)</x:f>
        <x:v>668.3813849347611</x:v>
      </x:c>
      <x:c r="D213" s="92" t="n">
        <x:f>MAX(B213,C213)/MIN(B213,C213)</x:f>
        <x:v>1.4450793722521151</x:v>
      </x:c>
      <x:c r="E213" s="92" t="n">
        <x:f>IF(A213&lt;'拟合与方案'!$C$13,"",SQRT('拟合与方案'!$F$13^2+('拟合与方案'!$G$13*(A213-'拟合与方案'!$H$13))^2))</x:f>
        <x:v>837.9175448206956</x:v>
      </x:c>
      <x:c r="F213" s="92" t="n">
        <x:f>C213</x:f>
        <x:v>668.3813849347611</x:v>
      </x:c>
      <x:c r="G213" s="92" t="n">
        <x:f>IF(E213="","",MAX(E213,F213)/MIN(E213,F213))</x:f>
        <x:v>1.253651827694876</x:v>
      </x:c>
      <x:c r="H213" s="92" t="n">
        <x:f>IF(A213&lt;'拟合与方案'!$C$15,"",SQRT('拟合与方案'!$F$15^2+('拟合与方案'!$G$15*(A213-'拟合与方案'!$H$15))^2))</x:f>
        <x:v>851.3775495333873</x:v>
      </x:c>
      <x:c r="I213" s="92" t="n">
        <x:f>C213</x:f>
        <x:v>668.3813849347611</x:v>
      </x:c>
      <x:c r="J213" s="92" t="n">
        <x:f>IF(H213="","",MAX(H213,I213)/MIN(H213,I213))</x:f>
        <x:v>1.2737900377289653</x:v>
      </x:c>
    </x:row>
    <x:row r="214" ht="15" hidden="0" customHeight="1">
      <x:c r="A214" s="92" t="n">
        <x:v>226</x:v>
      </x:c>
      <x:c r="B214" s="92" t="n">
        <x:f>SQRT('拟合与方案'!$B$7^2+('拟合与方案'!$C$7*(A214-'拟合与方案'!$D$7))^2)</x:f>
        <x:v>958.4276849085666</x:v>
      </x:c>
      <x:c r="C214" s="92" t="n">
        <x:f>SQRT('拟合与方案'!$B$8^2+('拟合与方案'!$C$8*(A214-'拟合与方案'!$D$8))^2)</x:f>
        <x:v>654.7707397963833</x:v>
      </x:c>
      <x:c r="D214" s="92" t="n">
        <x:f>MAX(B214,C214)/MIN(B214,C214)</x:f>
        <x:v>1.463760712958268</x:v>
      </x:c>
      <x:c r="E214" s="92" t="n">
        <x:f>IF(A214&lt;'拟合与方案'!$C$13,"",SQRT('拟合与方案'!$F$13^2+('拟合与方案'!$G$13*(A214-'拟合与方案'!$H$13))^2))</x:f>
        <x:v>820.6572423405552</x:v>
      </x:c>
      <x:c r="F214" s="92" t="n">
        <x:f>C214</x:f>
        <x:v>654.7707397963833</x:v>
      </x:c>
      <x:c r="G214" s="92" t="n">
        <x:f>IF(E214="","",MAX(E214,F214)/MIN(E214,F214))</x:f>
        <x:v>1.2533505125714053</x:v>
      </x:c>
      <x:c r="H214" s="92" t="n">
        <x:f>IF(A214&lt;'拟合与方案'!$C$15,"",SQRT('拟合与方案'!$F$15^2+('拟合与方案'!$G$15*(A214-'拟合与方案'!$H$15))^2))</x:f>
        <x:v>824.436815036431</x:v>
      </x:c>
      <x:c r="I214" s="92" t="n">
        <x:f>C214</x:f>
        <x:v>654.7707397963833</x:v>
      </x:c>
      <x:c r="J214" s="92" t="n">
        <x:f>IF(H214="","",MAX(H214,I214)/MIN(H214,I214))</x:f>
        <x:v>1.2591228729811743</x:v>
      </x:c>
    </x:row>
    <x:row r="215" ht="15" hidden="0" customHeight="1">
      <x:c r="A215" s="92" t="n">
        <x:v>226.5</x:v>
      </x:c>
      <x:c r="B215" s="92" t="n">
        <x:f>SQRT('拟合与方案'!$B$7^2+('拟合与方案'!$C$7*(A215-'拟合与方案'!$D$7))^2)</x:f>
        <x:v>951.3426116865072</x:v>
      </x:c>
      <x:c r="C215" s="92" t="n">
        <x:f>SQRT('拟合与方案'!$B$8^2+('拟合与方案'!$C$8*(A215-'拟合与方案'!$D$8))^2)</x:f>
        <x:v>641.6046374631582</x:v>
      </x:c>
      <x:c r="D215" s="92" t="n">
        <x:f>MAX(B215,C215)/MIN(B215,C215)</x:f>
        <x:v>1.4827551986656808</x:v>
      </x:c>
      <x:c r="E215" s="92" t="n">
        <x:f>IF(A215&lt;'拟合与方案'!$C$13,"",SQRT('拟合与方案'!$F$13^2+('拟合与方案'!$G$13*(A215-'拟合与方案'!$H$13))^2))</x:f>
        <x:v>803.9568441553758</x:v>
      </x:c>
      <x:c r="F215" s="92" t="n">
        <x:f>C215</x:f>
        <x:v>641.6046374631582</x:v>
      </x:c>
      <x:c r="G215" s="92" t="n">
        <x:f>IF(E215="","",MAX(E215,F215)/MIN(E215,F215))</x:f>
        <x:v>1.2530408871951775</x:v>
      </x:c>
      <x:c r="H215" s="92" t="n">
        <x:f>IF(A215&lt;'拟合与方案'!$C$15,"",SQRT('拟合与方案'!$F$15^2+('拟合与方案'!$G$15*(A215-'拟合与方案'!$H$15))^2))</x:f>
        <x:v>798.048662813181</x:v>
      </x:c>
      <x:c r="I215" s="92" t="n">
        <x:f>C215</x:f>
        <x:v>641.6046374631582</x:v>
      </x:c>
      <x:c r="J215" s="92" t="n">
        <x:f>IF(H215="","",MAX(H215,I215)/MIN(H215,I215))</x:f>
        <x:v>1.243832441686499</x:v>
      </x:c>
    </x:row>
    <x:row r="216" ht="15" hidden="0" customHeight="1">
      <x:c r="A216" s="92" t="n">
        <x:v>227</x:v>
      </x:c>
      <x:c r="B216" s="92" t="n">
        <x:f>SQRT('拟合与方案'!$B$7^2+('拟合与方案'!$C$7*(A216-'拟合与方案'!$D$7))^2)</x:f>
        <x:v>944.6168393980108</x:v>
      </x:c>
      <x:c r="C216" s="92" t="n">
        <x:f>SQRT('拟合与方案'!$B$8^2+('拟合与方案'!$C$8*(A216-'拟合与方案'!$D$8))^2)</x:f>
        <x:v>628.9109977488804</x:v>
      </x:c>
      <x:c r="D216" s="92" t="n">
        <x:f>MAX(B216,C216)/MIN(B216,C216)</x:f>
        <x:v>1.501988107664146</x:v>
      </x:c>
      <x:c r="E216" s="92" t="n">
        <x:f>IF(A216&lt;'拟合与方案'!$C$13,"",SQRT('拟合与方案'!$F$13^2+('拟合与方案'!$G$13*(A216-'拟合与方案'!$H$13))^2))</x:f>
        <x:v>787.8519565839403</x:v>
      </x:c>
      <x:c r="F216" s="92" t="n">
        <x:f>C216</x:f>
        <x:v>628.9109977488804</x:v>
      </x:c>
      <x:c r="G216" s="92" t="n">
        <x:f>IF(E216="","",MAX(E216,F216)/MIN(E216,F216))</x:f>
        <x:v>1.2527240887883533</x:v>
      </x:c>
      <x:c r="H216" s="92" t="n">
        <x:f>IF(A216&lt;'拟合与方案'!$C$15,"",SQRT('拟合与方案'!$F$15^2+('拟合与方案'!$G$15*(A216-'拟合与方案'!$H$15))^2))</x:f>
        <x:v>772.2697394958258</x:v>
      </x:c>
      <x:c r="I216" s="92" t="n">
        <x:f>C216</x:f>
        <x:v>628.9109977488804</x:v>
      </x:c>
      <x:c r="J216" s="92" t="n">
        <x:f>IF(H216="","",MAX(H216,I216)/MIN(H216,I216))</x:f>
        <x:v>1.2279475828218662</x:v>
      </x:c>
    </x:row>
    <x:row r="217" ht="15" hidden="0" customHeight="1">
      <x:c r="A217" s="92" t="n">
        <x:v>227.5</x:v>
      </x:c>
      <x:c r="B217" s="92" t="n">
        <x:f>SQRT('拟合与方案'!$B$7^2+('拟合与方案'!$C$7*(A217-'拟合与方案'!$D$7))^2)</x:f>
        <x:v>938.2580948707788</x:v>
      </x:c>
      <x:c r="C217" s="92" t="n">
        <x:f>SQRT('拟合与方案'!$B$8^2+('拟合与方案'!$C$8*(A217-'拟合与方案'!$D$8))^2)</x:f>
        <x:v>616.7189947774332</x:v>
      </x:c>
      <x:c r="D217" s="92" t="n">
        <x:f>MAX(B217,C217)/MIN(B217,C217)</x:f>
        <x:v>1.521370515285305</x:v>
      </x:c>
      <x:c r="E217" s="92" t="n">
        <x:f>IF(A217&lt;'拟合与方案'!$C$13,"",SQRT('拟合与方案'!$F$13^2+('拟合与方案'!$G$13*(A217-'拟合与方案'!$H$13))^2))</x:f>
        <x:v>772.3798314900636</x:v>
      </x:c>
      <x:c r="F217" s="92" t="n">
        <x:f>C217</x:f>
        <x:v>616.7189947774332</x:v>
      </x:c>
      <x:c r="G217" s="92" t="n">
        <x:f>IF(E217="","",MAX(E217,F217)/MIN(E217,F217))</x:f>
        <x:v>1.2524015605661807</x:v>
      </x:c>
      <x:c r="H217" s="92" t="n">
        <x:f>IF(A217&lt;'拟合与方案'!$C$15,"",SQRT('拟合与方案'!$F$15^2+('拟合与方案'!$G$15*(A217-'拟合与方案'!$H$15))^2))</x:f>
        <x:v>747.1631073310218</x:v>
      </x:c>
      <x:c r="I217" s="92" t="n">
        <x:f>C217</x:f>
        <x:v>616.7189947774332</x:v>
      </x:c>
      <x:c r="J217" s="92" t="n">
        <x:f>IF(H217="","",MAX(H217,I217)/MIN(H217,I217))</x:f>
        <x:v>1.2115130450954643</x:v>
      </x:c>
    </x:row>
    <x:row r="218" ht="15" hidden="0" customHeight="1">
      <x:c r="A218" s="92" t="n">
        <x:v>228</x:v>
      </x:c>
      <x:c r="B218" s="92" t="n">
        <x:f>SQRT('拟合与方案'!$B$7^2+('拟合与方案'!$C$7*(A218-'拟合与方案'!$D$7))^2)</x:f>
        <x:v>932.2738882749384</x:v>
      </x:c>
      <x:c r="C218" s="92" t="n">
        <x:f>SQRT('拟合与方案'!$B$8^2+('拟合与方案'!$C$8*(A218-'拟合与方案'!$D$8))^2)</x:f>
        <x:v>605.0589534116631</x:v>
      </x:c>
      <x:c r="D218" s="92" t="n">
        <x:f>MAX(B218,C218)/MIN(B218,C218)</x:f>
        <x:v>1.5407984346289783</x:v>
      </x:c>
      <x:c r="E218" s="92" t="n">
        <x:f>IF(A218&lt;'拟合与方案'!$C$13,"",SQRT('拟合与方案'!$F$13^2+('拟合与方案'!$G$13*(A218-'拟合与方案'!$H$13))^2))</x:f>
        <x:v>757.5792388012624</x:v>
      </x:c>
      <x:c r="F218" s="92" t="n">
        <x:f>C218</x:f>
        <x:v>605.0589534116631</x:v>
      </x:c>
      <x:c r="G218" s="92" t="n">
        <x:f>IF(E218="","",MAX(E218,F218)/MIN(E218,F218))</x:f>
        <x:v>1.2520750821545636</x:v>
      </x:c>
      <x:c r="H218" s="92" t="n">
        <x:f>IF(A218&lt;'拟合与方案'!$C$15,"",SQRT('拟合与方案'!$F$15^2+('拟合与方案'!$G$15*(A218-'拟合与方案'!$H$15))^2))</x:f>
        <x:v>722.7988264134758</x:v>
      </x:c>
      <x:c r="I218" s="92" t="n">
        <x:f>C218</x:f>
        <x:v>605.0589534116631</x:v>
      </x:c>
      <x:c r="J218" s="92" t="n">
        <x:f>IF(H218="","",MAX(H218,I218)/MIN(H218,I218))</x:f>
        <x:v>1.194592398538901</x:v>
      </x:c>
    </x:row>
    <x:row r="219" ht="15" hidden="0" customHeight="1">
      <x:c r="A219" s="92" t="n">
        <x:v>228.5</x:v>
      </x:c>
      <x:c r="B219" s="92" t="n">
        <x:f>SQRT('拟合与方案'!$B$7^2+('拟合与方案'!$C$7*(A219-'拟合与方案'!$D$7))^2)</x:f>
        <x:v>926.6714756484491</x:v>
      </x:c>
      <x:c r="C219" s="92" t="n">
        <x:f>SQRT('拟合与方案'!$B$8^2+('拟合与方案'!$C$8*(A219-'拟合与方案'!$D$8))^2)</x:f>
        <x:v>593.9622032103392</x:v>
      </x:c>
      <x:c r="D219" s="92" t="n">
        <x:f>MAX(B219,C219)/MIN(B219,C219)</x:f>
        <x:v>1.5601522632918916</x:v>
      </x:c>
      <x:c r="E219" s="92" t="n">
        <x:f>IF(A219&lt;'拟合与方案'!$C$13,"",SQRT('拟合与方案'!$F$13^2+('拟合与方案'!$G$13*(A219-'拟合与方案'!$H$13))^2))</x:f>
        <x:v>743.4902840006625</x:v>
      </x:c>
      <x:c r="F219" s="92" t="n">
        <x:f>C219</x:f>
        <x:v>593.9622032103392</x:v>
      </x:c>
      <x:c r="G219" s="92" t="n">
        <x:f>IF(E219="","",MAX(E219,F219)/MIN(E219,F219))</x:f>
        <x:v>1.2517467946312588</x:v>
      </x:c>
      <x:c r="H219" s="92" t="n">
        <x:f>IF(A219&lt;'拟合与方案'!$C$15,"",SQRT('拟合与方案'!$F$15^2+('拟合与方案'!$G$15*(A219-'拟合与方案'!$H$15))^2))</x:f>
        <x:v>699.2544987809522</x:v>
      </x:c>
      <x:c r="I219" s="92" t="n">
        <x:f>C219</x:f>
        <x:v>593.9622032103392</x:v>
      </x:c>
      <x:c r="J219" s="92" t="n">
        <x:f>IF(H219="","",MAX(H219,I219)/MIN(H219,I219))</x:f>
        <x:v>1.1772710367789614</x:v>
      </x:c>
    </x:row>
    <x:row r="220" ht="15" hidden="0" customHeight="1">
      <x:c r="A220" s="92" t="n">
        <x:v>229</x:v>
      </x:c>
      <x:c r="B220" s="92" t="n">
        <x:f>SQRT('拟合与方案'!$B$7^2+('拟合与方案'!$C$7*(A220-'拟合与方案'!$D$7))^2)</x:f>
        <x:v>921.4578208763271</x:v>
      </x:c>
      <x:c r="C220" s="92" t="n">
        <x:f>SQRT('拟合与方案'!$B$8^2+('拟合与方案'!$C$8*(A220-'拟合与方案'!$D$8))^2)</x:f>
        <x:v>583.4608844951625</x:v>
      </x:c>
      <x:c r="D220" s="92" t="n">
        <x:f>MAX(B220,C220)/MIN(B220,C220)</x:f>
        <x:v>1.5792966510062028</x:v>
      </x:c>
      <x:c r="E220" s="92" t="n">
        <x:f>IF(A220&lt;'拟合与方案'!$C$13,"",SQRT('拟合与方案'!$F$13^2+('拟合与方案'!$G$13*(A220-'拟合与方案'!$H$13))^2))</x:f>
        <x:v>730.154163252307</x:v>
      </x:c>
      <x:c r="F220" s="92" t="n">
        <x:f>C220</x:f>
        <x:v>583.4608844951625</x:v>
      </x:c>
      <x:c r="G220" s="92" t="n">
        <x:f>IF(E220="","",MAX(E220,F220)/MIN(E220,F220))</x:f>
        <x:v>1.2514192170466925</x:v>
      </x:c>
      <x:c r="H220" s="92" t="n">
        <x:f>IF(A220&lt;'拟合与方案'!$C$15,"",SQRT('拟合与方案'!$F$15^2+('拟合与方案'!$G$15*(A220-'拟合与方案'!$H$15))^2))</x:f>
        <x:v>676.6157260651397</x:v>
      </x:c>
      <x:c r="I220" s="92" t="n">
        <x:f>C220</x:f>
        <x:v>583.4608844951625</x:v>
      </x:c>
      <x:c r="J220" s="92" t="n">
        <x:f>IF(H220="","",MAX(H220,I220)/MIN(H220,I220))</x:f>
        <x:v>1.15965910319863</x:v>
      </x:c>
    </x:row>
    <x:row r="221" ht="15" hidden="0" customHeight="1">
      <x:c r="A221" s="92" t="n">
        <x:v>229.5</x:v>
      </x:c>
      <x:c r="B221" s="92" t="n">
        <x:f>SQRT('拟合与方案'!$B$7^2+('拟合与方案'!$C$7*(A221-'拟合与方案'!$D$7))^2)</x:f>
        <x:v>916.6395575035464</x:v>
      </x:c>
      <x:c r="C221" s="92" t="n">
        <x:f>SQRT('拟合与方案'!$B$8^2+('拟合与方案'!$C$8*(A221-'拟合与方案'!$D$8))^2)</x:f>
        <x:v>573.5877019112321</x:v>
      </x:c>
      <x:c r="D221" s="92" t="n">
        <x:f>MAX(B221,C221)/MIN(B221,C221)</x:f>
        <x:v>1.598080911514042</x:v>
      </x:c>
      <x:c r="E221" s="92" t="n">
        <x:f>IF(A221&lt;'拟合与方案'!$C$13,"",SQRT('拟合与方案'!$F$13^2+('拟合与方案'!$G$13*(A221-'拟合与方案'!$H$13))^2))</x:f>
        <x:v>717.612849798951</x:v>
      </x:c>
      <x:c r="F221" s="92" t="n">
        <x:f>C221</x:f>
        <x:v>573.5877019112321</x:v>
      </x:c>
      <x:c r="G221" s="92" t="n">
        <x:f>IF(E221="","",MAX(E221,F221)/MIN(E221,F221))</x:f>
        <x:v>1.2510952508357789</x:v>
      </x:c>
      <x:c r="H221" s="92" t="n">
        <x:f>IF(A221&lt;'拟合与方案'!$C$15,"",SQRT('拟合与方案'!$F$15^2+('拟合与方案'!$G$15*(A221-'拟合与方案'!$H$15))^2))</x:f>
        <x:v>654.9764144948002</x:v>
      </x:c>
      <x:c r="I221" s="92" t="n">
        <x:f>C221</x:f>
        <x:v>573.5877019112321</x:v>
      </x:c>
      <x:c r="J221" s="92" t="n">
        <x:f>IF(H221="","",MAX(H221,I221)/MIN(H221,I221))</x:f>
        <x:v>1.1418941032249743</x:v>
      </x:c>
    </x:row>
    <x:row r="222" ht="15" hidden="0" customHeight="1">
      <x:c r="A222" s="92" t="n">
        <x:v>230</x:v>
      </x:c>
      <x:c r="B222" s="92" t="n">
        <x:f>SQRT('拟合与方案'!$B$7^2+('拟合与方案'!$C$7*(A222-'拟合与方案'!$D$7))^2)</x:f>
        <x:v>912.2229507959764</x:v>
      </x:c>
      <x:c r="C222" s="92" t="n">
        <x:f>SQRT('拟合与方案'!$B$8^2+('拟合与方案'!$C$8*(A222-'拟合与方案'!$D$8))^2)</x:f>
        <x:v>564.3756222466324</x:v>
      </x:c>
      <x:c r="D222" s="92" t="n">
        <x:f>MAX(B222,C222)/MIN(B222,C222)</x:f>
        <x:v>1.6163401019424872</x:v>
      </x:c>
      <x:c r="E222" s="92" t="n">
        <x:f>IF(A222&lt;'拟合与方案'!$C$13,"",SQRT('拟合与方案'!$F$13^2+('拟合与方案'!$G$13*(A222-'拟合与方案'!$H$13))^2))</x:f>
        <x:v>705.9087070217167</x:v>
      </x:c>
      <x:c r="F222" s="92" t="n">
        <x:f>C222</x:f>
        <x:v>564.3756222466324</x:v>
      </x:c>
      <x:c r="G222" s="92" t="n">
        <x:f>IF(E222="","",MAX(E222,F222)/MIN(E222,F222))</x:f>
        <x:v>1.2507781682909656</x:v>
      </x:c>
      <x:c r="H222" s="92" t="n">
        <x:f>IF(A222&lt;'拟合与方案'!$C$15,"",SQRT('拟合与方案'!$F$15^2+('拟合与方案'!$G$15*(A222-'拟合与方案'!$H$15))^2))</x:f>
        <x:v>634.4388405692272</x:v>
      </x:c>
      <x:c r="I222" s="92" t="n">
        <x:f>C222</x:f>
        <x:v>564.3756222466324</x:v>
      </x:c>
      <x:c r="J222" s="92" t="n">
        <x:f>IF(H222="","",MAX(H222,I222)/MIN(H222,I222))</x:f>
        <x:v>1.1241428856258735</x:v>
      </x:c>
    </x:row>
    <x:row r="223" ht="15" hidden="0" customHeight="1">
      <x:c r="A223" s="92" t="n">
        <x:v>230.5</x:v>
      </x:c>
      <x:c r="B223" s="92" t="n">
        <x:f>SQRT('拟合与方案'!$B$7^2+('拟合与方案'!$C$7*(A223-'拟合与方案'!$D$7))^2)</x:f>
        <x:v>908.2138604921269</x:v>
      </x:c>
      <x:c r="C223" s="92" t="n">
        <x:f>SQRT('拟合与方案'!$B$8^2+('拟合与方案'!$C$8*(A223-'拟合与方案'!$D$8))^2)</x:f>
        <x:v>555.8575153249907</x:v>
      </x:c>
      <x:c r="D223" s="92" t="n">
        <x:f>MAX(B223,C223)/MIN(B223,C223)</x:f>
        <x:v>1.633896880860063</x:v>
      </x:c>
      <x:c r="E223" s="92" t="n">
        <x:f>IF(A223&lt;'拟合与方案'!$C$13,"",SQRT('拟合与方案'!$F$13^2+('拟合与方案'!$G$13*(A223-'拟合与方案'!$H$13))^2))</x:f>
        <x:v>695.0840261955218</x:v>
      </x:c>
      <x:c r="F223" s="92" t="n">
        <x:f>C223</x:f>
        <x:v>555.8575153249907</x:v>
      </x:c>
      <x:c r="G223" s="92" t="n">
        <x:f>IF(E223="","",MAX(E223,F223)/MIN(E223,F223))</x:f>
        <x:v>1.250471581353236</x:v>
      </x:c>
      <x:c r="H223" s="92" t="n">
        <x:f>IF(A223&lt;'拟合与方案'!$C$15,"",SQRT('拟合与方案'!$F$15^2+('拟合与方案'!$G$15*(A223-'拟合与方案'!$H$15))^2))</x:f>
        <x:v>615.1133695455976</x:v>
      </x:c>
      <x:c r="I223" s="92" t="n">
        <x:f>C223</x:f>
        <x:v>555.8575153249907</x:v>
      </x:c>
      <x:c r="J223" s="92" t="n">
        <x:f>IF(H223="","",MAX(H223,I223)/MIN(H223,I223))</x:f>
        <x:v>1.1066025961454566</x:v>
      </x:c>
    </x:row>
    <x:row r="224" ht="15" hidden="0" customHeight="1">
      <x:c r="A224" s="92" t="n">
        <x:v>231</x:v>
      </x:c>
      <x:c r="B224" s="92" t="n">
        <x:f>SQRT('拟合与方案'!$B$7^2+('拟合与方案'!$C$7*(A224-'拟合与方案'!$D$7))^2)</x:f>
        <x:v>904.6177047093317</x:v>
      </x:c>
      <x:c r="C224" s="92" t="n">
        <x:f>SQRT('拟合与方案'!$B$8^2+('拟合与方案'!$C$8*(A224-'拟合与方案'!$D$8))^2)</x:f>
        <x:v>548.0657395375167</x:v>
      </x:c>
      <x:c r="D224" s="92" t="n">
        <x:f>MAX(B224,C224)/MIN(B224,C224)</x:f>
        <x:v>1.650564228796148</x:v>
      </x:c>
      <x:c r="E224" s="92" t="n">
        <x:f>IF(A224&lt;'拟合与方案'!$C$13,"",SQRT('拟合与方案'!$F$13^2+('拟合与方案'!$G$13*(A224-'拟合与方案'!$H$13))^2))</x:f>
        <x:v>685.1804905759404</x:v>
      </x:c>
      <x:c r="F224" s="92" t="n">
        <x:f>C224</x:f>
        <x:v>548.0657395375167</x:v>
      </x:c>
      <x:c r="G224" s="92" t="n">
        <x:f>IF(E224="","",MAX(E224,F224)/MIN(E224,F224))</x:f>
        <x:v>1.2501793875204232</x:v>
      </x:c>
      <x:c r="H224" s="92" t="n">
        <x:f>IF(A224&lt;'拟合与方案'!$C$15,"",SQRT('拟合与方案'!$F$15^2+('拟合与方案'!$G$15*(A224-'拟合与方案'!$H$15))^2))</x:f>
        <x:v>597.1177006731633</x:v>
      </x:c>
      <x:c r="I224" s="92" t="n">
        <x:f>C224</x:f>
        <x:v>548.0657395375167</x:v>
      </x:c>
      <x:c r="J224" s="92" t="n">
        <x:f>IF(H224="","",MAX(H224,I224)/MIN(H224,I224))</x:f>
        <x:v>1.0895001413097614</x:v>
      </x:c>
    </x:row>
    <x:row r="225" ht="15" hidden="0" customHeight="1">
      <x:c r="A225" s="92" t="n">
        <x:v>231.5</x:v>
      </x:c>
      <x:c r="B225" s="92" t="n">
        <x:f>SQRT('拟合与方案'!$B$7^2+('拟合与方案'!$C$7*(A225-'拟合与方案'!$D$7))^2)</x:f>
        <x:v>901.4394254799487</x:v>
      </x:c>
      <x:c r="C225" s="92" t="n">
        <x:f>SQRT('拟合与方案'!$B$8^2+('拟合与方案'!$C$8*(A225-'拟合与方案'!$D$8))^2)</x:f>
        <x:v>541.0316770031785</x:v>
      </x:c>
      <x:c r="D225" s="92" t="n">
        <x:f>MAX(B225,C225)/MIN(B225,C225)</x:f>
        <x:v>1.6661490700010395</x:v>
      </x:c>
      <x:c r="E225" s="92" t="n">
        <x:f>IF(A225&lt;'拟合与方案'!$C$13,"",SQRT('拟合与方案'!$F$13^2+('拟合与方案'!$G$13*(A225-'拟合与方案'!$H$13))^2))</x:f>
        <x:v>676.238571977524</x:v>
      </x:c>
      <x:c r="F225" s="92" t="n">
        <x:f>C225</x:f>
        <x:v>541.0316770031785</x:v>
      </x:c>
      <x:c r="G225" s="92" t="n">
        <x:f>IF(E225="","",MAX(E225,F225)/MIN(E225,F225))</x:f>
        <x:v>1.2499056907781596</x:v>
      </x:c>
      <x:c r="H225" s="92" t="n">
        <x:f>IF(A225&lt;'拟合与方案'!$C$15,"",SQRT('拟合与方案'!$F$15^2+('拟合与方案'!$G$15*(A225-'拟合与方案'!$H$15))^2))</x:f>
        <x:v>580.5755038005174</x:v>
      </x:c>
      <x:c r="I225" s="92" t="n">
        <x:f>C225</x:f>
        <x:v>541.0316770031785</x:v>
      </x:c>
      <x:c r="J225" s="92" t="n">
        <x:f>IF(H225="","",MAX(H225,I225)/MIN(H225,I225))</x:f>
        <x:v>1.073089670121305</x:v>
      </x:c>
    </x:row>
    <x:row r="226" ht="15" hidden="0" customHeight="1">
      <x:c r="A226" s="92" t="n">
        <x:v>232</x:v>
      </x:c>
      <x:c r="B226" s="92" t="n">
        <x:f>SQRT('拟合与方案'!$B$7^2+('拟合与方案'!$C$7*(A226-'拟合与方案'!$D$7))^2)</x:f>
        <x:v>898.6834563950385</x:v>
      </x:c>
      <x:c r="C226" s="92" t="n">
        <x:f>SQRT('拟合与方案'!$B$8^2+('拟合与方案'!$C$8*(A226-'拟合与方案'!$D$8))^2)</x:f>
        <x:v>534.785227302954</x:v>
      </x:c>
      <x:c r="D226" s="92" t="n">
        <x:f>MAX(B226,C226)/MIN(B226,C226)</x:f>
        <x:v>1.6804567712674259</x:v>
      </x:c>
      <x:c r="E226" s="92" t="n">
        <x:f>IF(A226&lt;'拟合与方案'!$C$13,"",SQRT('拟合与方案'!$F$13^2+('拟合与方案'!$G$13*(A226-'拟合与方案'!$H$13))^2))</x:f>
        <x:v>668.2968712818579</x:v>
      </x:c>
      <x:c r="F226" s="92" t="n">
        <x:f>C226</x:f>
        <x:v>534.785227302954</x:v>
      </x:c>
      <x:c r="G226" s="92" t="n">
        <x:f>IF(E226="","",MAX(E226,F226)/MIN(E226,F226))</x:f>
        <x:v>1.2496546971804627</x:v>
      </x:c>
      <x:c r="H226" s="92" t="n">
        <x:f>IF(A226&lt;'拟合与方案'!$C$15,"",SQRT('拟合与方案'!$F$15^2+('拟合与方案'!$G$15*(A226-'拟合与方案'!$H$15))^2))</x:f>
        <x:v>565.6143198874976</x:v>
      </x:c>
      <x:c r="I226" s="92" t="n">
        <x:f>C226</x:f>
        <x:v>534.785227302954</x:v>
      </x:c>
      <x:c r="J226" s="92" t="n">
        <x:f>IF(H226="","",MAX(H226,I226)/MIN(H226,I226))</x:f>
        <x:v>1.0576476144264901</x:v>
      </x:c>
    </x:row>
    <x:row r="227" ht="15" hidden="0" customHeight="1">
      <x:c r="A227" s="92" t="n">
        <x:v>232.5</x:v>
      </x:c>
      <x:c r="B227" s="92" t="n">
        <x:f>SQRT('拟合与方案'!$B$7^2+('拟合与方案'!$C$7*(A227-'拟合与方案'!$D$7))^2)</x:f>
        <x:v>896.353692823943</x:v>
      </x:c>
      <x:c r="C227" s="92" t="n">
        <x:f>SQRT('拟合与方案'!$B$8^2+('拟合与方案'!$C$8*(A227-'拟合与方案'!$D$8))^2)</x:f>
        <x:v>529.3542729747317</x:v>
      </x:c>
      <x:c r="D227" s="92" t="n">
        <x:f>MAX(B227,C227)/MIN(B227,C227)</x:f>
        <x:v>1.6932964152472796</x:v>
      </x:c>
      <x:c r="E227" s="92" t="n">
        <x:f>IF(A227&lt;'拟合与方案'!$C$13,"",SQRT('拟合与方案'!$F$13^2+('拟合与方案'!$G$13*(A227-'拟合与方案'!$H$13))^2))</x:f>
        <x:v>661.3914200158964</x:v>
      </x:c>
      <x:c r="F227" s="92" t="n">
        <x:f>C227</x:f>
        <x:v>529.3542729747317</x:v>
      </x:c>
      <x:c r="G227" s="92" t="n">
        <x:f>IF(E227="","",MAX(E227,F227)/MIN(E227,F227))</x:f>
        <x:v>1.2494305870040034</x:v>
      </x:c>
      <x:c r="H227" s="92" t="n">
        <x:f>IF(A227&lt;'拟合与方案'!$C$15,"",SQRT('拟合与方案'!$F$15^2+('拟合与方案'!$G$15*(A227-'拟合与方案'!$H$15))^2))</x:f>
        <x:v>552.36263288072</x:v>
      </x:c>
      <x:c r="I227" s="92" t="n">
        <x:f>C227</x:f>
        <x:v>529.3542729747317</x:v>
      </x:c>
      <x:c r="J227" s="92" t="n">
        <x:f>IF(H227="","",MAX(H227,I227)/MIN(H227,I227))</x:f>
        <x:v>1.04346495547621</x:v>
      </x:c>
    </x:row>
    <x:row r="228" ht="15" hidden="0" customHeight="1">
      <x:c r="A228" s="92" t="n">
        <x:v>233</x:v>
      </x:c>
      <x:c r="B228" s="92" t="n">
        <x:f>SQRT('拟合与方案'!$B$7^2+('拟合与方案'!$C$7*(A228-'拟合与方案'!$D$7))^2)</x:f>
        <x:v>894.4534651576788</x:v>
      </x:c>
      <x:c r="C228" s="92" t="n">
        <x:f>SQRT('拟合与方案'!$B$8^2+('拟合与方案'!$C$8*(A228-'拟合与方案'!$D$8))^2)</x:f>
        <x:v>524.7641341081487</x:v>
      </x:c>
      <x:c r="D228" s="92" t="n">
        <x:f>MAX(B228,C228)/MIN(B228,C228)</x:f>
        <x:v>1.7044866579493423</x:v>
      </x:c>
      <x:c r="E228" s="92" t="n">
        <x:f>IF(A228&lt;'拟合与方案'!$C$13,"",SQRT('拟合与方案'!$F$13^2+('拟合与方案'!$G$13*(A228-'拟合与方案'!$H$13))^2))</x:f>
        <x:v>655.5549657708136</x:v>
      </x:c>
      <x:c r="F228" s="92" t="n">
        <x:f>C228</x:f>
        <x:v>524.7641341081487</x:v>
      </x:c>
      <x:c r="G228" s="92" t="n">
        <x:f>IF(E228="","",MAX(E228,F228)/MIN(E228,F228))</x:f>
        <x:v>1.2492373681081455</x:v>
      </x:c>
      <x:c r="H228" s="92" t="n">
        <x:f>IF(A228&lt;'拟合与方案'!$C$15,"",SQRT('拟合与方案'!$F$15^2+('拟合与方案'!$G$15*(A228-'拟合与方案'!$H$15))^2))</x:f>
        <x:v>540.9460912481005</x:v>
      </x:c>
      <x:c r="I228" s="92" t="n">
        <x:f>C228</x:f>
        <x:v>524.7641341081487</x:v>
      </x:c>
      <x:c r="J228" s="92" t="n">
        <x:f>IF(H228="","",MAX(H228,I228)/MIN(H228,I228))</x:f>
        <x:v>1.0308366294267681</x:v>
      </x:c>
    </x:row>
    <x:row r="229" ht="15" hidden="0" customHeight="1">
      <x:c r="A229" s="92" t="n">
        <x:v>233.5</x:v>
      </x:c>
      <x:c r="B229" s="92" t="n">
        <x:f>SQRT('拟合与方案'!$B$7^2+('拟合与方案'!$C$7*(A229-'拟合与方案'!$D$7))^2)</x:f>
        <x:v>892.9855154919991</x:v>
      </x:c>
      <x:c r="C229" s="92" t="n">
        <x:f>SQRT('拟合与方案'!$B$8^2+('拟合与方案'!$C$8*(A229-'拟合与方案'!$D$8))^2)</x:f>
        <x:v>521.037032974123</x:v>
      </x:c>
      <x:c r="D229" s="92" t="n">
        <x:f>MAX(B229,C229)/MIN(B229,C229)</x:f>
        <x:v>1.7138618926849845</x:v>
      </x:c>
      <x:c r="E229" s="92" t="n">
        <x:f>IF(A229&lt;'拟合与方案'!$C$13,"",SQRT('拟合与方案'!$F$13^2+('拟合与方案'!$G$13*(A229-'拟合与方案'!$H$13))^2))</x:f>
        <x:v>650.8162691524439</x:v>
      </x:c>
      <x:c r="F229" s="92" t="n">
        <x:f>C229</x:f>
        <x:v>521.037032974123</x:v>
      </x:c>
      <x:c r="G229" s="92" t="n">
        <x:f>IF(E229="","",MAX(E229,F229)/MIN(E229,F229))</x:f>
        <x:v>1.249078717951256</x:v>
      </x:c>
      <x:c r="H229" s="92" t="n">
        <x:f>IF(A229&lt;'拟合与方案'!$C$15,"",SQRT('拟合与方案'!$F$15^2+('拟合与方案'!$G$15*(A229-'拟合与方案'!$H$15))^2))</x:f>
        <x:v>531.48296789533</x:v>
      </x:c>
      <x:c r="I229" s="92" t="n">
        <x:f>C229</x:f>
        <x:v>521.037032974123</x:v>
      </x:c>
      <x:c r="J229" s="92" t="n">
        <x:f>IF(H229="","",MAX(H229,I229)/MIN(H229,I229))</x:f>
        <x:v>1.0200483540710739</x:v>
      </x:c>
    </x:row>
    <x:row r="230" ht="15" hidden="0" customHeight="1">
      <x:c r="A230" s="92" t="n">
        <x:v>234</x:v>
      </x:c>
      <x:c r="B230" s="92" t="n">
        <x:f>SQRT('拟合与方案'!$B$7^2+('拟合与方案'!$C$7*(A230-'拟合与方案'!$D$7))^2)</x:f>
        <x:v>891.9519781226547</x:v>
      </x:c>
      <x:c r="C230" s="92" t="n">
        <x:f>SQRT('拟合与方案'!$B$8^2+('拟合与方案'!$C$8*(A230-'拟合与方案'!$D$8))^2)</x:f>
        <x:v>518.191592144463</x:v>
      </x:c>
      <x:c r="D230" s="92" t="n">
        <x:f>MAX(B230,C230)/MIN(B230,C230)</x:f>
        <x:v>1.721278368163862</x:v>
      </x:c>
      <x:c r="E230" s="92" t="n">
        <x:f>IF(A230&lt;'拟合与方案'!$C$13,"",SQRT('拟合与方案'!$F$13^2+('拟合与方案'!$G$13*(A230-'拟合与方案'!$H$13))^2))</x:f>
        <x:v>647.1994434568408</x:v>
      </x:c>
      <x:c r="F230" s="92" t="n">
        <x:f>C230</x:f>
        <x:v>518.191592144463</x:v>
      </x:c>
      <x:c r="G230" s="92" t="n">
        <x:f>IF(E230="","",MAX(E230,F230)/MIN(E230,F230))</x:f>
        <x:v>1.2489578242257788</x:v>
      </x:c>
      <x:c r="H230" s="92" t="n">
        <x:f>IF(A230&lt;'拟合与方案'!$C$15,"",SQRT('拟合与方案'!$F$15^2+('拟合与方案'!$G$15*(A230-'拟合与方案'!$H$15))^2))</x:f>
        <x:v>524.0790901969007</x:v>
      </x:c>
      <x:c r="I230" s="92" t="n">
        <x:f>C230</x:f>
        <x:v>518.191592144463</x:v>
      </x:c>
      <x:c r="J230" s="92" t="n">
        <x:f>IF(H230="","",MAX(H230,I230)/MIN(H230,I230))</x:f>
        <x:v>1.01136162404348</x:v>
      </x:c>
    </x:row>
    <x:row r="231" ht="15" hidden="0" customHeight="1">
      <x:c r="A231" s="92" t="n">
        <x:v>234.5</x:v>
      </x:c>
      <x:c r="B231" s="92" t="n">
        <x:f>SQRT('拟合与方案'!$B$7^2+('拟合与方案'!$C$7*(A231-'拟合与方案'!$D$7))^2)</x:f>
        <x:v>891.3543641716212</x:v>
      </x:c>
      <x:c r="C231" s="92" t="n">
        <x:f>SQRT('拟合与方案'!$B$8^2+('拟合与方案'!$C$8*(A231-'拟合与方案'!$D$8))^2)</x:f>
        <x:v>516.2423905129097</x:v>
      </x:c>
      <x:c r="D231" s="92" t="n">
        <x:f>MAX(B231,C231)/MIN(B231,C231)</x:f>
        <x:v>1.7266198602676182</x:v>
      </x:c>
      <x:c r="E231" s="92" t="n">
        <x:f>IF(A231&lt;'拟合与方案'!$C$13,"",SQRT('拟合与方案'!$F$13^2+('拟合与方案'!$G$13*(A231-'拟合与方案'!$H$13))^2))</x:f>
        <x:v>644.7233696701147</x:v>
      </x:c>
      <x:c r="F231" s="92" t="n">
        <x:f>C231</x:f>
        <x:v>516.2423905129097</x:v>
      </x:c>
      <x:c r="G231" s="92" t="n">
        <x:f>IF(E231="","",MAX(E231,F231)/MIN(E231,F231))</x:f>
        <x:v>1.2488772358069113</x:v>
      </x:c>
      <x:c r="H231" s="92" t="n">
        <x:f>IF(A231&lt;'拟合与方案'!$C$15,"",SQRT('拟合与方案'!$F$15^2+('拟合与方案'!$G$15*(A231-'拟合与方案'!$H$15))^2))</x:f>
        <x:v>518.8226252708596</x:v>
      </x:c>
      <x:c r="I231" s="92" t="n">
        <x:f>C231</x:f>
        <x:v>516.2423905129097</x:v>
      </x:c>
      <x:c r="J231" s="92" t="n">
        <x:f>IF(H231="","",MAX(H231,I231)/MIN(H231,I231))</x:f>
        <x:v>1.0049981071011747</x:v>
      </x:c>
    </x:row>
    <x:row r="232" ht="15" hidden="0" customHeight="1">
      <x:c r="A232" s="92" t="n">
        <x:v>235</x:v>
      </x:c>
      <x:c r="B232" s="92" t="n">
        <x:f>SQRT('拟合与方案'!$B$7^2+('拟合与方案'!$C$7*(A232-'拟合与方案'!$D$7))^2)</x:f>
        <x:v>891.1935506000628</x:v>
      </x:c>
      <x:c r="C232" s="92" t="n">
        <x:f>SQRT('拟合与方案'!$B$8^2+('拟合与方案'!$C$8*(A232-'拟合与方案'!$D$8))^2)</x:f>
        <x:v>515.1996006503571</x:v>
      </x:c>
      <x:c r="D232" s="92" t="n">
        <x:f>MAX(B232,C232)/MIN(B232,C232)</x:f>
        <x:v>1.7298024871818098</x:v>
      </x:c>
      <x:c r="E232" s="92" t="n">
        <x:f>IF(A232&lt;'拟合与方案'!$C$13,"",SQRT('拟合与方案'!$F$13^2+('拟合与方案'!$G$13*(A232-'拟合与方案'!$H$13))^2))</x:f>
        <x:v>643.4012181814201</x:v>
      </x:c>
      <x:c r="F232" s="92" t="n">
        <x:f>C232</x:f>
        <x:v>515.1996006503571</x:v>
      </x:c>
      <x:c r="G232" s="92" t="n">
        <x:f>IF(E232="","",MAX(E232,F232)/MIN(E232,F232))</x:f>
        <x:v>1.2488387362281124</x:v>
      </x:c>
      <x:c r="H232" s="92" t="n">
        <x:f>IF(A232&lt;'拟合与方案'!$C$15,"",SQRT('拟合与方案'!$F$15^2+('拟合与方案'!$G$15*(A232-'拟合与方案'!$H$15))^2))</x:f>
        <x:v>515.7792321302157</x:v>
      </x:c>
      <x:c r="I232" s="92" t="n">
        <x:f>C232</x:f>
        <x:v>515.1996006503571</x:v>
      </x:c>
      <x:c r="J232" s="92" t="n">
        <x:f>IF(H232="","",MAX(H232,I232)/MIN(H232,I232))</x:f>
        <x:v>1.0011250619742853</x:v>
      </x:c>
    </x:row>
    <x:row r="233" ht="15" hidden="0" customHeight="1">
      <x:c r="A233" s="92" t="n">
        <x:v>235.5</x:v>
      </x:c>
      <x:c r="B233" s="92" t="n">
        <x:f>SQRT('拟合与方案'!$B$7^2+('拟合与方案'!$C$7*(A233-'拟合与方案'!$D$7))^2)</x:f>
        <x:v>891.4697737932405</x:v>
      </x:c>
      <x:c r="C233" s="92" t="n">
        <x:f>SQRT('拟合与方案'!$B$8^2+('拟合与方案'!$C$8*(A233-'拟合与方案'!$D$8))^2)</x:f>
        <x:v>515.0687278535024</x:v>
      </x:c>
      <x:c r="D233" s="92" t="n">
        <x:f>MAX(B233,C233)/MIN(B233,C233)</x:f>
        <x:v>1.730778293429601</x:v>
      </x:c>
      <x:c r="E233" s="92" t="n">
        <x:f>IF(A233&lt;'拟合与方案'!$C$13,"",SQRT('拟合与方案'!$F$13^2+('拟合与方案'!$G$13*(A233-'拟合与方案'!$H$13))^2))</x:f>
        <x:v>643.2401045383348</x:v>
      </x:c>
      <x:c r="F233" s="92" t="n">
        <x:f>C233</x:f>
        <x:v>515.0687278535024</x:v>
      </x:c>
      <x:c r="G233" s="92" t="n">
        <x:f>IF(E233="","",MAX(E233,F233)/MIN(E233,F233))</x:f>
        <x:v>1.2488432509171616</x:v>
      </x:c>
      <x:c r="H233" s="92" t="n">
        <x:f>IF(A233&lt;'拟合与方案'!$C$15,"",SQRT('拟合与方案'!$F$15^2+('拟合与方案'!$G$15*(A233-'拟合与方案'!$H$15))^2))</x:f>
        <x:v>514.9881476240749</x:v>
      </x:c>
      <x:c r="I233" s="92" t="n">
        <x:f>C233</x:f>
        <x:v>515.0687278535024</x:v>
      </x:c>
      <x:c r="J233" s="92" t="n">
        <x:f>IF(H233="","",MAX(H233,I233)/MIN(H233,I233))</x:f>
        <x:v>1.0001564700659602</x:v>
      </x:c>
    </x:row>
    <x:row r="234" ht="15" hidden="0" customHeight="1">
      <x:c r="A234" s="92" t="n">
        <x:v>236</x:v>
      </x:c>
      <x:c r="B234" s="92" t="n">
        <x:f>SQRT('拟合与方案'!$B$7^2+('拟合与方案'!$C$7*(A234-'拟合与方案'!$D$7))^2)</x:f>
        <x:v>892.182627826427</x:v>
      </x:c>
      <x:c r="C234" s="92" t="n">
        <x:f>SQRT('拟合与方案'!$B$8^2+('拟合与方案'!$C$8*(A234-'拟合与方案'!$D$8))^2)</x:f>
        <x:v>515.8504661910242</x:v>
      </x:c>
      <x:c r="D234" s="92" t="n">
        <x:f>MAX(B234,C234)/MIN(B234,C234)</x:f>
        <x:v>1.7295373103259803</x:v>
      </x:c>
      <x:c r="E234" s="92" t="n">
        <x:f>IF(A234&lt;'拟合与方案'!$C$13,"",SQRT('拟合与方案'!$F$13^2+('拟合与方案'!$G$13*(A234-'拟合与方案'!$H$13))^2))</x:f>
        <x:v>644.2408998086391</x:v>
      </x:c>
      <x:c r="F234" s="92" t="n">
        <x:f>C234</x:f>
        <x:v>515.8504661910242</x:v>
      </x:c>
      <x:c r="G234" s="92" t="n">
        <x:f>IF(E234="","",MAX(E234,F234)/MIN(E234,F234))</x:f>
        <x:v>1.2488907969118141</x:v>
      </x:c>
      <x:c r="H234" s="92" t="n">
        <x:f>IF(A234&lt;'拟合与方案'!$C$15,"",SQRT('拟合与方案'!$F$15^2+('拟合与方案'!$G$15*(A234-'拟合与方案'!$H$15))^2))</x:f>
        <x:v>516.4597217424315</x:v>
      </x:c>
      <x:c r="I234" s="92" t="n">
        <x:f>C234</x:f>
        <x:v>515.8504661910242</x:v>
      </x:c>
      <x:c r="J234" s="92" t="n">
        <x:f>IF(H234="","",MAX(H234,I234)/MIN(H234,I234))</x:f>
        <x:v>1.0011810700800678</x:v>
      </x:c>
    </x:row>
    <x:row r="235" ht="15" hidden="0" customHeight="1">
      <x:c r="A235" s="92" t="n">
        <x:v>236.5</x:v>
      </x:c>
      <x:c r="B235" s="92" t="n">
        <x:f>SQRT('拟合与方案'!$B$7^2+('拟合与方案'!$C$7*(A235-'拟合与方案'!$D$7))^2)</x:f>
        <x:v>893.3310674414271</x:v>
      </x:c>
      <x:c r="C235" s="92" t="n">
        <x:f>SQRT('拟合与方案'!$B$8^2+('拟合与方案'!$C$8*(A235-'拟合与方案'!$D$8))^2)</x:f>
        <x:v>517.5406802183792</x:v>
      </x:c>
      <x:c r="D235" s="92" t="n">
        <x:f>MAX(B235,C235)/MIN(B235,C235)</x:f>
        <x:v>1.7261079207618637</x:v>
      </x:c>
      <x:c r="E235" s="92" t="n">
        <x:f>IF(A235&lt;'拟合与方案'!$C$13,"",SQRT('拟合与方案'!$F$13^2+('拟合与方案'!$G$13*(A235-'拟合与方案'!$H$13))^2))</x:f>
        <x:v>646.3982071885775</x:v>
      </x:c>
      <x:c r="F235" s="92" t="n">
        <x:f>C235</x:f>
        <x:v>517.5406802183792</x:v>
      </x:c>
      <x:c r="G235" s="92" t="n">
        <x:f>IF(E235="","",MAX(E235,F235)/MIN(E235,F235))</x:f>
        <x:v>1.2489804799804842</x:v>
      </x:c>
      <x:c r="H235" s="92" t="n">
        <x:f>IF(A235&lt;'拟合与方案'!$C$15,"",SQRT('拟合与方案'!$F$15^2+('拟合与方案'!$G$15*(A235-'拟合与方案'!$H$15))^2))</x:f>
        <x:v>520.1747516593018</x:v>
      </x:c>
      <x:c r="I235" s="92" t="n">
        <x:f>C235</x:f>
        <x:v>517.5406802183792</x:v>
      </x:c>
      <x:c r="J235" s="92" t="n">
        <x:f>IF(H235="","",MAX(H235,I235)/MIN(H235,I235))</x:f>
        <x:v>1.0050895930341384</x:v>
      </x:c>
    </x:row>
    <x:row r="236" ht="15" hidden="0" customHeight="1">
      <x:c r="A236" s="92" t="n">
        <x:v>237</x:v>
      </x:c>
      <x:c r="B236" s="92" t="n">
        <x:f>SQRT('拟合与方案'!$B$7^2+('拟合与方案'!$C$7*(A236-'拟合与方案'!$D$7))^2)</x:f>
        <x:v>894.913415682927</x:v>
      </x:c>
      <x:c r="C236" s="92" t="n">
        <x:f>SQRT('拟合与方案'!$B$8^2+('拟合与方案'!$C$8*(A236-'拟合与方案'!$D$8))^2)</x:f>
        <x:v>520.1305134741109</x:v>
      </x:c>
      <x:c r="D236" s="92" t="n">
        <x:f>MAX(B236,C236)/MIN(B236,C236)</x:f>
        <x:v>1.720555500013884</x:v>
      </x:c>
      <x:c r="E236" s="92" t="n">
        <x:f>IF(A236&lt;'拟合与方案'!$C$13,"",SQRT('拟合与方案'!$F$13^2+('拟合与方案'!$G$13*(A236-'拟合与方案'!$H$13))^2))</x:f>
        <x:v>649.7005063085406</x:v>
      </x:c>
      <x:c r="F236" s="92" t="n">
        <x:f>C236</x:f>
        <x:v>520.1305134741109</x:v>
      </x:c>
      <x:c r="G236" s="92" t="n">
        <x:f>IF(E236="","",MAX(E236,F236)/MIN(E236,F236))</x:f>
        <x:v>1.2491105395239976</x:v>
      </x:c>
      <x:c r="H236" s="92" t="n">
        <x:f>IF(A236&lt;'拟合与方案'!$C$15,"",SQRT('拟合与方案'!$F$15^2+('拟合与方案'!$G$15*(A236-'拟合与方案'!$H$15))^2))</x:f>
        <x:v>526.0857120640281</x:v>
      </x:c>
      <x:c r="I236" s="92" t="n">
        <x:f>C236</x:f>
        <x:v>520.1305134741109</x:v>
      </x:c>
      <x:c r="J236" s="92" t="n">
        <x:f>IF(H236="","",MAX(H236,I236)/MIN(H236,I236))</x:f>
        <x:v>1.0114494313170375</x:v>
      </x:c>
    </x:row>
    <x:row r="237" ht="15" hidden="0" customHeight="1">
      <x:c r="A237" s="92" t="n">
        <x:v>237.5</x:v>
      </x:c>
      <x:c r="B237" s="92" t="n">
        <x:f>SQRT('拟合与方案'!$B$7^2+('拟合与方案'!$C$7*(A237-'拟合与方案'!$D$7))^2)</x:f>
        <x:v>896.9273760650859</x:v>
      </x:c>
      <x:c r="C237" s="92" t="n">
        <x:f>SQRT('拟合与方案'!$B$8^2+('拟合与方案'!$C$8*(A237-'拟合与方案'!$D$8))^2)</x:f>
        <x:v>523.6066171920631</x:v>
      </x:c>
      <x:c r="D237" s="92" t="n">
        <x:f>MAX(B237,C237)/MIN(B237,C237)</x:f>
        <x:v>1.7129794517781767</x:v>
      </x:c>
      <x:c r="E237" s="92" t="n">
        <x:f>IF(A237&lt;'拟合与方案'!$C$13,"",SQRT('拟合与方案'!$F$13^2+('拟合与方案'!$G$13*(A237-'拟合与方案'!$H$13))^2))</x:f>
        <x:v>654.1304563381418</x:v>
      </x:c>
      <x:c r="F237" s="92" t="n">
        <x:f>C237</x:f>
        <x:v>523.6066171920631</x:v>
      </x:c>
      <x:c r="G237" s="92" t="n">
        <x:f>IF(E237="","",MAX(E237,F237)/MIN(E237,F237))</x:f>
        <x:v>1.2492784370183034</x:v>
      </x:c>
      <x:c r="H237" s="92" t="n">
        <x:f>IF(A237&lt;'拟合与方案'!$C$15,"",SQRT('拟合与方案'!$F$15^2+('拟合与方案'!$G$15*(A237-'拟合与方案'!$H$15))^2))</x:f>
        <x:v>534.1197025991153</x:v>
      </x:c>
      <x:c r="I237" s="92" t="n">
        <x:f>C237</x:f>
        <x:v>523.6066171920631</x:v>
      </x:c>
      <x:c r="J237" s="92" t="n">
        <x:f>IF(H237="","",MAX(H237,I237)/MIN(H237,I237))</x:f>
        <x:v>1.0200782134179864</x:v>
      </x:c>
    </x:row>
    <x:row r="238" ht="15" hidden="0" customHeight="1">
      <x:c r="A238" s="92" t="n">
        <x:v>238</x:v>
      </x:c>
      <x:c r="B238" s="92" t="n">
        <x:f>SQRT('拟合与方案'!$B$7^2+('拟合与方案'!$C$7*(A238-'拟合与方案'!$D$7))^2)</x:f>
        <x:v>899.3700490638934</x:v>
      </x:c>
      <x:c r="C238" s="92" t="n">
        <x:f>SQRT('拟合与方案'!$B$8^2+('拟合与方案'!$C$8*(A238-'拟合与方案'!$D$8))^2)</x:f>
        <x:v>527.9514856900424</x:v>
      </x:c>
      <x:c r="D238" s="92" t="n">
        <x:f>MAX(B238,C238)/MIN(B238,C238)</x:f>
        <x:v>1.7035088894359298</x:v>
      </x:c>
      <x:c r="E238" s="92" t="n">
        <x:f>IF(A238&lt;'拟合与方案'!$C$13,"",SQRT('拟合与方案'!$F$13^2+('拟合与方案'!$G$13*(A238-'拟合与方案'!$H$13))^2))</x:f>
        <x:v>659.665339616477</x:v>
      </x:c>
      <x:c r="F238" s="92" t="n">
        <x:f>C238</x:f>
        <x:v>527.9514856900424</x:v>
      </x:c>
      <x:c r="G238" s="92" t="n">
        <x:f>IF(E238="","",MAX(E238,F238)/MIN(E238,F238))</x:f>
        <x:v>1.2494809797803337</x:v>
      </x:c>
      <x:c r="H238" s="92" t="n">
        <x:f>IF(A238&lt;'拟合与方案'!$C$15,"",SQRT('拟合与方案'!$F$15^2+('拟合与方案'!$G$15*(A238-'拟合与方案'!$H$15))^2))</x:f>
        <x:v>544.1827019152411</x:v>
      </x:c>
      <x:c r="I238" s="92" t="n">
        <x:f>C238</x:f>
        <x:v>527.9514856900424</x:v>
      </x:c>
      <x:c r="J238" s="92" t="n">
        <x:f>IF(H238="","",MAX(H238,I238)/MIN(H238,I238))</x:f>
        <x:v>1.0307437646547848</x:v>
      </x:c>
    </x:row>
    <x:row r="239" ht="15" hidden="0" customHeight="1">
      <x:c r="A239" s="92" t="n">
        <x:v>238.5</x:v>
      </x:c>
      <x:c r="B239" s="92" t="n">
        <x:f>SQRT('拟合与方案'!$B$7^2+('拟合与方案'!$C$7*(A239-'拟合与方案'!$D$7))^2)</x:f>
        <x:v>902.237952662075</x:v>
      </x:c>
      <x:c r="C239" s="92" t="n">
        <x:f>SQRT('拟合与方案'!$B$8^2+('拟合与方案'!$C$8*(A239-'拟合与方案'!$D$8))^2)</x:f>
        <x:v>533.1438793345229</x:v>
      </x:c>
      <x:c r="D239" s="92" t="n">
        <x:f>MAX(B239,C239)/MIN(B239,C239)</x:f>
        <x:v>1.6922973096648133</x:v>
      </x:c>
      <x:c r="E239" s="92" t="n">
        <x:f>IF(A239&lt;'拟合与方案'!$C$13,"",SQRT('拟合与方案'!$F$13^2+('拟合与方案'!$G$13*(A239-'拟合与方案'!$H$13))^2))</x:f>
        <x:v>666.2776200984865</x:v>
      </x:c>
      <x:c r="F239" s="92" t="n">
        <x:f>C239</x:f>
        <x:v>533.1438793345229</x:v>
      </x:c>
      <x:c r="G239" s="92" t="n">
        <x:f>IF(E239="","",MAX(E239,F239)/MIN(E239,F239))</x:f>
        <x:v>1.249714469066292</x:v>
      </x:c>
      <x:c r="H239" s="92" t="n">
        <x:f>IF(A239&lt;'拟合与方案'!$C$15,"",SQRT('拟合与方案'!$F$15^2+('拟合与方案'!$G$15*(A239-'拟合与方案'!$H$15))^2))</x:f>
        <x:v>556.1645849166679</x:v>
      </x:c>
      <x:c r="I239" s="92" t="n">
        <x:f>C239</x:f>
        <x:v>533.1438793345229</x:v>
      </x:c>
      <x:c r="J239" s="92" t="n">
        <x:f>IF(H239="","",MAX(H239,I239)/MIN(H239,I239))</x:f>
        <x:v>1.0431791613379857</x:v>
      </x:c>
    </x:row>
    <x:row r="240" ht="15" hidden="0" customHeight="1">
      <x:c r="A240" s="92" t="n">
        <x:v>239</x:v>
      </x:c>
      <x:c r="B240" s="92" t="n">
        <x:f>SQRT('拟合与方案'!$B$7^2+('拟合与方案'!$C$7*(A240-'拟合与方案'!$D$7))^2)</x:f>
        <x:v>905.5270466126279</x:v>
      </x:c>
      <x:c r="C240" s="92" t="n">
        <x:f>SQRT('拟合与方案'!$B$8^2+('拟合与方案'!$C$8*(A240-'拟合与方案'!$D$8))^2)</x:f>
        <x:v>539.1593123149589</x:v>
      </x:c>
      <x:c r="D240" s="92" t="n">
        <x:f>MAX(B240,C240)/MIN(B240,C240)</x:f>
        <x:v>1.6795166584893357</x:v>
      </x:c>
      <x:c r="E240" s="92" t="n">
        <x:f>IF(A240&lt;'拟合与方案'!$C$13,"",SQRT('拟合与方案'!$F$13^2+('拟合与方案'!$G$13*(A240-'拟合与方案'!$H$13))^2))</x:f>
        <x:v>673.9355860670136</x:v>
      </x:c>
      <x:c r="F240" s="92" t="n">
        <x:f>C240</x:f>
        <x:v>539.1593123149589</x:v>
      </x:c>
      <x:c r="G240" s="92" t="n">
        <x:f>IF(E240="","",MAX(E240,F240)/MIN(E240,F240))</x:f>
        <x:v>1.249974860256745</x:v>
      </x:c>
      <x:c r="H240" s="92" t="n">
        <x:f>IF(A240&lt;'拟合与方案'!$C$15,"",SQRT('拟合与方案'!$F$15^2+('拟合与方案'!$G$15*(A240-'拟合与方案'!$H$15))^2))</x:f>
        <x:v>569.944342949239</x:v>
      </x:c>
      <x:c r="I240" s="92" t="n">
        <x:f>C240</x:f>
        <x:v>539.1593123149589</x:v>
      </x:c>
      <x:c r="J240" s="92" t="n">
        <x:f>IF(H240="","",MAX(H240,I240)/MIN(H240,I240))</x:f>
        <x:v>1.057098208138333</x:v>
      </x:c>
    </x:row>
    <x:row r="241" ht="15" hidden="0" customHeight="1">
      <x:c r="A241" s="92" t="n">
        <x:v>239.5</x:v>
      </x:c>
      <x:c r="B241" s="92" t="n">
        <x:f>SQRT('拟合与方案'!$B$7^2+('拟合与方案'!$C$7*(A241-'拟合与方案'!$D$7))^2)</x:f>
        <x:v>909.2327600359532</x:v>
      </x:c>
      <x:c r="C241" s="92" t="n">
        <x:f>SQRT('拟合与方案'!$B$8^2+('拟合与方案'!$C$8*(A241-'拟合与方案'!$D$8))^2)</x:f>
        <x:v>545.9705808874215</x:v>
      </x:c>
      <x:c r="D241" s="92" t="n">
        <x:f>MAX(B241,C241)/MIN(B241,C241)</x:f>
        <x:v>1.665351196319195</x:v>
      </x:c>
      <x:c r="E241" s="92" t="n">
        <x:f>IF(A241&lt;'拟合与方案'!$C$13,"",SQRT('拟合与方案'!$F$13^2+('拟合与方案'!$G$13*(A241-'拟合与方案'!$H$13))^2))</x:f>
        <x:v>682.6040445686502</x:v>
      </x:c>
      <x:c r="F241" s="92" t="n">
        <x:f>C241</x:f>
        <x:v>545.9705808874215</x:v>
      </x:c>
      <x:c r="G241" s="92" t="n">
        <x:f>IF(E241="","",MAX(E241,F241)/MIN(E241,F241))</x:f>
        <x:v>1.2502579231634503</x:v>
      </x:c>
      <x:c r="H241" s="92" t="n">
        <x:f>IF(A241&lt;'拟合与方案'!$C$15,"",SQRT('拟合与方案'!$F$15^2+('拟合与方案'!$G$15*(A241-'拟合与方案'!$H$15))^2))</x:f>
        <x:v>585.3950279056891</x:v>
      </x:c>
      <x:c r="I241" s="92" t="n">
        <x:f>C241</x:f>
        <x:v>545.9705808874215</x:v>
      </x:c>
      <x:c r="J241" s="92" t="n">
        <x:f>IF(H241="","",MAX(H241,I241)/MIN(H241,I241))</x:f>
        <x:v>1.0722098376696176</x:v>
      </x:c>
    </x:row>
    <x:row r="242" ht="15" hidden="0" customHeight="1">
      <x:c r="A242" s="92" t="n">
        <x:v>240</x:v>
      </x:c>
      <x:c r="B242" s="92" t="n">
        <x:f>SQRT('拟合与方案'!$B$7^2+('拟合与方案'!$C$7*(A242-'拟合与方案'!$D$7))^2)</x:f>
        <x:v>913.350021925154</x:v>
      </x:c>
      <x:c r="C242" s="92" t="n">
        <x:f>SQRT('拟合与方案'!$B$8^2+('拟合与方案'!$C$8*(A242-'拟合与方案'!$D$8))^2)</x:f>
        <x:v>553.5483081788719</x:v>
      </x:c>
      <x:c r="D242" s="92" t="n">
        <x:f>MAX(B242,C242)/MIN(B242,C242)</x:f>
        <x:v>1.649991533584485</x:v>
      </x:c>
      <x:c r="E242" s="92" t="n">
        <x:f>IF(A242&lt;'拟合与方案'!$C$13,"",SQRT('拟合与方案'!$F$13^2+('拟合与方案'!$G$13*(A242-'拟合与方案'!$H$13))^2))</x:f>
        <x:v>692.2450357540133</x:v>
      </x:c>
      <x:c r="F242" s="92" t="n">
        <x:f>C242</x:f>
        <x:v>553.5483081788719</x:v>
      </x:c>
      <x:c r="G242" s="92" t="n">
        <x:f>IF(E242="","",MAX(E242,F242)/MIN(E242,F242))</x:f>
        <x:v>1.2505593920636162</x:v>
      </x:c>
      <x:c r="H242" s="92" t="n">
        <x:f>IF(A242&lt;'拟合与方案'!$C$15,"",SQRT('拟合与方案'!$F$15^2+('拟合与方案'!$G$15*(A242-'拟合与方案'!$H$15))^2))</x:f>
        <x:v>602.3880804150411</x:v>
      </x:c>
      <x:c r="I242" s="92" t="n">
        <x:f>C242</x:f>
        <x:v>553.5483081788719</x:v>
      </x:c>
      <x:c r="J242" s="92" t="n">
        <x:f>IF(H242="","",MAX(H242,I242)/MIN(H242,I242))</x:f>
        <x:v>1.0882303703480696</x:v>
      </x:c>
    </x:row>
    <x:row r="243" ht="15" hidden="0" customHeight="1">
      <x:c r="A243" s="92" t="n">
        <x:v>240.5</x:v>
      </x:c>
      <x:c r="B243" s="92" t="n">
        <x:f>SQRT('拟合与方案'!$B$7^2+('拟合与方案'!$C$7*(A243-'拟合与方案'!$D$7))^2)</x:f>
        <x:v>917.8732941050384</x:v>
      </x:c>
      <x:c r="C243" s="92" t="n">
        <x:f>SQRT('拟合与方案'!$B$8^2+('拟合与方案'!$C$8*(A243-'拟合与方案'!$D$8))^2)</x:f>
        <x:v>561.8614837621176</x:v>
      </x:c>
      <x:c r="D243" s="92" t="n">
        <x:f>MAX(B243,C243)/MIN(B243,C243)</x:f>
        <x:v>1.6336291428256187</x:v>
      </x:c>
      <x:c r="E243" s="92" t="n">
        <x:f>IF(A243&lt;'拟合与方案'!$C$13,"",SQRT('拟合与方案'!$F$13^2+('拟合与方案'!$G$13*(A243-'拟合与方案'!$H$13))^2))</x:f>
        <x:v>702.818538287996</x:v>
      </x:c>
      <x:c r="F243" s="92" t="n">
        <x:f>C243</x:f>
        <x:v>561.8614837621176</x:v>
      </x:c>
      <x:c r="G243" s="92" t="n">
        <x:f>IF(E243="","",MAX(E243,F243)/MIN(E243,F243))</x:f>
        <x:v>1.2508750975099001</x:v>
      </x:c>
      <x:c r="H243" s="92" t="n">
        <x:f>IF(A243&lt;'拟合与方案'!$C$15,"",SQRT('拟合与方案'!$F$15^2+('拟合与方案'!$G$15*(A243-'拟合与方案'!$H$15))^2))</x:f>
        <x:v>620.7968558619531</x:v>
      </x:c>
      <x:c r="I243" s="92" t="n">
        <x:f>C243</x:f>
        <x:v>561.8614837621176</x:v>
      </x:c>
      <x:c r="J243" s="92" t="n">
        <x:f>IF(H243="","",MAX(H243,I243)/MIN(H243,I243))</x:f>
        <x:v>1.1048930631536005</x:v>
      </x:c>
    </x:row>
    <x:row r="244" ht="15" hidden="0" customHeight="1">
      <x:c r="A244" s="92" t="n">
        <x:v>241</x:v>
      </x:c>
      <x:c r="B244" s="92" t="n">
        <x:f>SQRT('拟合与方案'!$B$7^2+('拟合与方案'!$C$7*(A244-'拟合与方案'!$D$7))^2)</x:f>
        <x:v>922.7966061729217</x:v>
      </x:c>
      <x:c r="C244" s="92" t="n">
        <x:f>SQRT('拟合与方案'!$B$8^2+('拟合与方案'!$C$8*(A244-'拟合与方案'!$D$8))^2)</x:f>
        <x:v>570.8779795521798</x:v>
      </x:c>
      <x:c r="D244" s="92" t="n">
        <x:f>MAX(B244,C244)/MIN(B244,C244)</x:f>
        <x:v>1.6164515697326447</x:v>
      </x:c>
      <x:c r="E244" s="92" t="n">
        <x:f>IF(A244&lt;'拟合与方案'!$C$13,"",SQRT('拟合与方案'!$F$13^2+('拟合与方案'!$G$13*(A244-'拟合与方案'!$H$13))^2))</x:f>
        <x:v>714.2831415951804</x:v>
      </x:c>
      <x:c r="F244" s="92" t="n">
        <x:f>C244</x:f>
        <x:v>570.8779795521798</x:v>
      </x:c>
      <x:c r="G244" s="92" t="n">
        <x:f>IF(E244="","",MAX(E244,F244)/MIN(E244,F244))</x:f>
        <x:v>1.2512010747997209</x:v>
      </x:c>
      <x:c r="H244" s="92" t="n">
        <x:f>IF(A244&lt;'拟合与方案'!$C$15,"",SQRT('拟合与方案'!$F$15^2+('拟合与方案'!$G$15*(A244-'拟合与方案'!$H$15))^2))</x:f>
        <x:v>640.4992967697995</x:v>
      </x:c>
      <x:c r="I244" s="92" t="n">
        <x:f>C244</x:f>
        <x:v>570.8779795521798</x:v>
      </x:c>
      <x:c r="J244" s="92" t="n">
        <x:f>IF(H244="","",MAX(H244,I244)/MIN(H244,I244))</x:f>
        <x:v>1.1219548129571113</x:v>
      </x:c>
    </x:row>
    <x:row r="245" ht="15" hidden="0" customHeight="1">
      <x:c r="A245" s="92" t="n">
        <x:v>241.5</x:v>
      </x:c>
      <x:c r="B245" s="92" t="n">
        <x:f>SQRT('拟合与方案'!$B$7^2+('拟合与方案'!$C$7*(A245-'拟合与方案'!$D$7))^2)</x:f>
        <x:v>928.1135919432294</x:v>
      </x:c>
      <x:c r="C245" s="92" t="n">
        <x:f>SQRT('拟合与方案'!$B$8^2+('拟合与方案'!$C$8*(A245-'拟合与方案'!$D$8))^2)</x:f>
        <x:v>580.5650276190632</x:v>
      </x:c>
      <x:c r="D245" s="92" t="n">
        <x:f>MAX(B245,C245)/MIN(B245,C245)</x:f>
        <x:v>1.5986384776731841</x:v>
      </x:c>
      <x:c r="E245" s="92" t="n">
        <x:f>IF(A245&lt;'拟合与方案'!$C$13,"",SQRT('拟合与方案'!$F$13^2+('拟合与方案'!$G$13*(A245-'拟合与方案'!$H$13))^2))</x:f>
        <x:v>726.5966662072502</x:v>
      </x:c>
      <x:c r="F245" s="92" t="n">
        <x:f>C245</x:f>
        <x:v>580.5650276190632</x:v>
      </x:c>
      <x:c r="G245" s="92" t="n">
        <x:f>IF(E245="","",MAX(E245,F245)/MIN(E245,F245))</x:f>
        <x:v>1.2515336467769558</x:v>
      </x:c>
      <x:c r="H245" s="92" t="n">
        <x:f>IF(A245&lt;'拟合与方案'!$C$15,"",SQRT('拟合与方案'!$F$15^2+('拟合与方案'!$G$15*(A245-'拟合与方案'!$H$15))^2))</x:f>
        <x:v>661.3797987311689</x:v>
      </x:c>
      <x:c r="I245" s="92" t="n">
        <x:f>C245</x:f>
        <x:v>580.5650276190632</x:v>
      </x:c>
      <x:c r="J245" s="92" t="n">
        <x:f>IF(H245="","",MAX(H245,I245)/MIN(H245,I245))</x:f>
        <x:v>1.1392002054335455</x:v>
      </x:c>
    </x:row>
    <x:row r="246" ht="15" hidden="0" customHeight="1">
      <x:c r="A246" s="92" t="n">
        <x:v>242</x:v>
      </x:c>
      <x:c r="B246" s="92" t="n">
        <x:f>SQRT('拟合与方案'!$B$7^2+('拟合与方案'!$C$7*(A246-'拟合与方案'!$D$7))^2)</x:f>
        <x:v>933.8175269225446</x:v>
      </x:c>
      <x:c r="C246" s="92" t="n">
        <x:f>SQRT('拟合与方案'!$B$8^2+('拟合与方案'!$C$8*(A246-'拟合与方案'!$D$8))^2)</x:f>
        <x:v>590.8896497702445</x:v>
      </x:c>
      <x:c r="D246" s="92" t="n">
        <x:f>MAX(B246,C246)/MIN(B246,C246)</x:f>
        <x:v>1.5803585784344685</x:v>
      </x:c>
      <x:c r="E246" s="92" t="n">
        <x:f>IF(A246&lt;'拟合与方案'!$C$13,"",SQRT('拟合与方案'!$F$13^2+('拟合与方案'!$G$13*(A246-'拟合与方案'!$H$13))^2))</x:f>
        <x:v>739.7167192179076</x:v>
      </x:c>
      <x:c r="F246" s="92" t="n">
        <x:f>C246</x:f>
        <x:v>590.8896497702445</x:v>
      </x:c>
      <x:c r="G246" s="92" t="n">
        <x:f>IF(E246="","",MAX(E246,F246)/MIN(E246,F246))</x:f>
        <x:v>1.251869481053749</x:v>
      </x:c>
      <x:c r="H246" s="92" t="n">
        <x:f>IF(A246&lt;'拟合与方案'!$C$15,"",SQRT('拟合与方案'!$F$15^2+('拟合与方案'!$G$15*(A246-'拟合与方案'!$H$15))^2))</x:f>
        <x:v>683.3303763695186</x:v>
      </x:c>
      <x:c r="I246" s="92" t="n">
        <x:f>C246</x:f>
        <x:v>590.8896497702445</x:v>
      </x:c>
      <x:c r="J246" s="92" t="n">
        <x:f>IF(H246="","",MAX(H246,I246)/MIN(H246,I246))</x:f>
        <x:v>1.1564432997518534</x:v>
      </x:c>
    </x:row>
    <x:row r="247" ht="15" hidden="0" customHeight="1">
      <x:c r="A247" s="92" t="n">
        <x:v>242.5</x:v>
      </x:c>
      <x:c r="B247" s="92" t="n">
        <x:f>SQRT('拟合与方案'!$B$7^2+('拟合与方案'!$C$7*(A247-'拟合与方案'!$D$7))^2)</x:f>
        <x:v>939.9013663561643</x:v>
      </x:c>
      <x:c r="C247" s="92" t="n">
        <x:f>SQRT('拟合与方案'!$B$8^2+('拟合与方案'!$C$8*(A247-'拟合与方案'!$D$8))^2)</x:f>
        <x:v>601.8190328258277</x:v>
      </x:c>
      <x:c r="D247" s="92" t="n">
        <x:f>MAX(B247,C247)/MIN(B247,C247)</x:f>
        <x:v>1.561767433547056</x:v>
      </x:c>
      <x:c r="E247" s="92" t="n">
        <x:f>IF(A247&lt;'拟合与方案'!$C$13,"",SQRT('拟合与方案'!$F$13^2+('拟合与方案'!$G$13*(A247-'拟合与方案'!$H$13))^2))</x:f>
        <x:v>753.6011772868485</x:v>
      </x:c>
      <x:c r="F247" s="92" t="n">
        <x:f>C247</x:f>
        <x:v>601.8190328258277</x:v>
      </x:c>
      <x:c r="G247" s="92" t="n">
        <x:f>IF(E247="","",MAX(E247,F247)/MIN(E247,F247))</x:f>
        <x:v>1.252205623588093</x:v>
      </x:c>
      <x:c r="H247" s="92" t="n">
        <x:f>IF(A247&lt;'拟合与方案'!$C$15,"",SQRT('拟合与方案'!$F$15^2+('拟合与方案'!$G$15*(A247-'拟合与方案'!$H$15))^2))</x:f>
        <x:v>706.2512615645279</x:v>
      </x:c>
      <x:c r="I247" s="92" t="n">
        <x:f>C247</x:f>
        <x:v>601.8190328258277</x:v>
      </x:c>
      <x:c r="J247" s="92" t="n">
        <x:f>IF(H247="","",MAX(H247,I247)/MIN(H247,I247))</x:f>
        <x:v>1.1735276271478838</x:v>
      </x:c>
    </x:row>
    <x:row r="248" ht="15" hidden="0" customHeight="1">
      <x:c r="A248" s="92" t="n">
        <x:v>243</x:v>
      </x:c>
      <x:c r="B248" s="92" t="n">
        <x:f>SQRT('拟合与方案'!$B$7^2+('拟合与方案'!$C$7*(A248-'拟合与方案'!$D$7))^2)</x:f>
        <x:v>946.3577834102199</x:v>
      </x:c>
      <x:c r="C248" s="92" t="n">
        <x:f>SQRT('拟合与方案'!$B$8^2+('拟合与方案'!$C$8*(A248-'拟合与方案'!$D$8))^2)</x:f>
        <x:v>613.3208471035051</x:v>
      </x:c>
      <x:c r="D248" s="92" t="n">
        <x:f>MAX(B248,C248)/MIN(B248,C248)</x:f>
        <x:v>1.5430060593562556</x:v>
      </x:c>
      <x:c r="E248" s="92" t="n">
        <x:f>IF(A248&lt;'拟合与方案'!$C$13,"",SQRT('拟合与方案'!$F$13^2+('拟合与方案'!$G$13*(A248-'拟合与方案'!$H$13))^2))</x:f>
        <x:v>768.2085943910989</x:v>
      </x:c>
      <x:c r="F248" s="92" t="n">
        <x:f>C248</x:f>
        <x:v>613.3208471035051</x:v>
      </x:c>
      <x:c r="G248" s="92" t="n">
        <x:f>IF(E248="","",MAX(E248,F248)/MIN(E248,F248))</x:f>
        <x:v>1.252539511772791</x:v>
      </x:c>
      <x:c r="H248" s="92" t="n">
        <x:f>IF(A248&lt;'拟合与方案'!$C$15,"",SQRT('拟合与方案'!$F$15^2+('拟合与方案'!$G$15*(A248-'拟合与方案'!$H$15))^2))</x:f>
        <x:v>730.0510679029373</x:v>
      </x:c>
      <x:c r="I248" s="92" t="n">
        <x:f>C248</x:f>
        <x:v>613.3208471035051</x:v>
      </x:c>
      <x:c r="J248" s="92" t="n">
        <x:f>IF(H248="","",MAX(H248,I248)/MIN(H248,I248))</x:f>
        <x:v>1.1903248868038765</x:v>
      </x:c>
    </x:row>
    <x:row r="249" ht="15" hidden="0" customHeight="1">
      <x:c r="A249" s="92" t="n">
        <x:v>243.5</x:v>
      </x:c>
      <x:c r="B249" s="92" t="n">
        <x:f>SQRT('拟合与方案'!$B$7^2+('拟合与方案'!$C$7*(A249-'拟合与方案'!$D$7))^2)</x:f>
        <x:v>953.1792070835882</x:v>
      </x:c>
      <x:c r="C249" s="92" t="n">
        <x:f>SQRT('拟合与方案'!$B$8^2+('拟合与方案'!$C$8*(A249-'拟合与方案'!$D$8))^2)</x:f>
        <x:v>625.3635085825214</x:v>
      </x:c>
      <x:c r="D249" s="92" t="n">
        <x:f>MAX(B249,C249)/MIN(B249,C249)</x:f>
        <x:v>1.5242002355463775</x:v>
      </x:c>
      <x:c r="E249" s="92" t="n">
        <x:f>IF(A249&lt;'拟合与方案'!$C$13,"",SQRT('拟合与方案'!$F$13^2+('拟合与方案'!$G$13*(A249-'拟合与方案'!$H$13))^2))</x:f>
        <x:v>783.4985353880229</x:v>
      </x:c>
      <x:c r="F249" s="92" t="n">
        <x:f>C249</x:f>
        <x:v>625.3635085825214</x:v>
      </x:c>
      <x:c r="G249" s="92" t="n">
        <x:f>IF(E249="","",MAX(E249,F249)/MIN(E249,F249))</x:f>
        <x:v>1.2528689708229666</x:v>
      </x:c>
      <x:c r="H249" s="92" t="n">
        <x:f>IF(A249&lt;'拟合与方案'!$C$15,"",SQRT('拟合与方案'!$F$15^2+('拟合与方案'!$G$15*(A249-'拟合与方案'!$H$15))^2))</x:f>
        <x:v>754.6466425576305</x:v>
      </x:c>
      <x:c r="I249" s="92" t="n">
        <x:f>C249</x:f>
        <x:v>625.3635085825214</x:v>
      </x:c>
      <x:c r="J249" s="92" t="n">
        <x:f>IF(H249="","",MAX(H249,I249)/MIN(H249,I249))</x:f>
        <x:v>1.2067327757389432</x:v>
      </x:c>
    </x:row>
    <x:row r="250" ht="15" hidden="0" customHeight="1">
      <x:c r="A250" s="92" t="n">
        <x:v>244</x:v>
      </x:c>
      <x:c r="B250" s="92" t="n">
        <x:f>SQRT('拟合与方案'!$B$7^2+('拟合与方案'!$C$7*(A250-'拟合与方案'!$D$7))^2)</x:f>
        <x:v>960.3578594796651</x:v>
      </x:c>
      <x:c r="C250" s="92" t="n">
        <x:f>SQRT('拟合与方案'!$B$8^2+('拟合与方案'!$C$8*(A250-'拟合与方案'!$D$8))^2)</x:f>
        <x:v>637.916387464733</x:v>
      </x:c>
      <x:c r="D250" s="92" t="n">
        <x:f>MAX(B250,C250)/MIN(B250,C250)</x:f>
        <x:v>1.505460399436373</x:v>
      </x:c>
      <x:c r="E250" s="92" t="n">
        <x:f>IF(A250&lt;'拟合与方案'!$C$13,"",SQRT('拟合与方案'!$F$13^2+('拟合与方案'!$G$13*(A250-'拟合与方案'!$H$13))^2))</x:f>
        <x:v>799.4318393613119</x:v>
      </x:c>
      <x:c r="F250" s="92" t="n">
        <x:f>C250</x:f>
        <x:v>637.916387464733</x:v>
      </x:c>
      <x:c r="G250" s="92" t="n">
        <x:f>IF(E250="","",MAX(E250,F250)/MIN(E250,F250))</x:f>
        <x:v>1.2531921973951612</x:v>
      </x:c>
      <x:c r="H250" s="92" t="n">
        <x:f>IF(A250&lt;'拟合与方案'!$C$15,"",SQRT('拟合与方案'!$F$15^2+('拟合与方案'!$G$15*(A250-'拟合与方案'!$H$15))^2))</x:f>
        <x:v>779.9627071811457</x:v>
      </x:c>
      <x:c r="I250" s="92" t="n">
        <x:f>C250</x:f>
        <x:v>637.916387464733</x:v>
      </x:c>
      <x:c r="J250" s="92" t="n">
        <x:f>IF(H250="","",MAX(H250,I250)/MIN(H250,I250))</x:f>
        <x:v>1.2226723164785693</x:v>
      </x:c>
    </x:row>
    <x:row r="251" ht="15" hidden="0" customHeight="1">
      <x:c r="A251" s="92" t="n">
        <x:v>244.5</x:v>
      </x:c>
      <x:c r="B251" s="92" t="n">
        <x:f>SQRT('拟合与方案'!$B$7^2+('拟合与方案'!$C$7*(A251-'拟合与方案'!$D$7))^2)</x:f>
        <x:v>967.8857921080894</x:v>
      </x:c>
      <x:c r="C251" s="92" t="n">
        <x:f>SQRT('拟合与方案'!$B$8^2+('拟合与方案'!$C$8*(A251-'拟合与方案'!$D$8))^2)</x:f>
        <x:v>650.9499674168542</x:v>
      </x:c>
      <x:c r="D251" s="92" t="n">
        <x:f>MAX(B251,C251)/MIN(B251,C251)</x:f>
        <x:v>1.4868820040792419</x:v>
      </x:c>
      <x:c r="E251" s="92" t="n">
        <x:f>IF(A251&lt;'拟合与方案'!$C$13,"",SQRT('拟合与方案'!$F$13^2+('拟合与方案'!$G$13*(A251-'拟合与方案'!$H$13))^2))</x:f>
        <x:v>815.9708187090081</x:v>
      </x:c>
      <x:c r="F251" s="92" t="n">
        <x:f>C251</x:f>
        <x:v>650.9499674168542</x:v>
      </x:c>
      <x:c r="G251" s="92" t="n">
        <x:f>IF(E251="","",MAX(E251,F251)/MIN(E251,F251))</x:f>
        <x:v>1.2535077341612004</x:v>
      </x:c>
      <x:c r="H251" s="92" t="n">
        <x:f>IF(A251&lt;'拟合与方案'!$C$15,"",SQRT('拟合与方案'!$F$15^2+('拟合与方案'!$G$15*(A251-'拟合与方案'!$H$15))^2))</x:f>
        <x:v>805.9313681423075</x:v>
      </x:c>
      <x:c r="I251" s="92" t="n">
        <x:f>C251</x:f>
        <x:v>650.9499674168542</x:v>
      </x:c>
      <x:c r="J251" s="92" t="n">
        <x:f>IF(H251="","",MAX(H251,I251)/MIN(H251,I251))</x:f>
        <x:v>1.2380849657930877</x:v>
      </x:c>
    </x:row>
    <x:row r="252" ht="15" hidden="0" customHeight="1">
      <x:c r="A252" s="92" t="n">
        <x:v>245</x:v>
      </x:c>
      <x:c r="B252" s="92" t="n">
        <x:f>SQRT('拟合与方案'!$B$7^2+('拟合与方案'!$C$7*(A252-'拟合与方案'!$D$7))^2)</x:f>
        <x:v>975.7549209291828</x:v>
      </x:c>
      <x:c r="C252" s="92" t="n">
        <x:f>SQRT('拟合与方案'!$B$8^2+('拟合与方案'!$C$8*(A252-'拟合与方案'!$D$8))^2)</x:f>
        <x:v>664.4359607354838</x:v>
      </x:c>
      <x:c r="D252" s="92" t="n">
        <x:f>MAX(B252,C252)/MIN(B252,C252)</x:f>
        <x:v>1.4685462235504094</x:v>
      </x:c>
      <x:c r="E252" s="92" t="n">
        <x:f>IF(A252&lt;'拟合与方案'!$C$13,"",SQRT('拟合与方案'!$F$13^2+('拟合与方案'!$G$13*(A252-'拟合与方案'!$H$13))^2))</x:f>
        <x:v>833.0794011108977</x:v>
      </x:c>
      <x:c r="F252" s="92" t="n">
        <x:f>C252</x:f>
        <x:v>664.4359607354838</x:v>
      </x:c>
      <x:c r="G252" s="92" t="n">
        <x:f>IF(E252="","",MAX(E252,F252)/MIN(E252,F252))</x:f>
        <x:v>1.2538144386236072</x:v>
      </x:c>
      <x:c r="H252" s="92" t="n">
        <x:f>IF(A252&lt;'拟合与方案'!$C$15,"",SQRT('拟合与方案'!$F$15^2+('拟合与方案'!$G$15*(A252-'拟合与方案'!$H$15))^2))</x:f>
        <x:v>832.4915566002304</x:v>
      </x:c>
      <x:c r="I252" s="92" t="n">
        <x:f>C252</x:f>
        <x:v>664.4359607354838</x:v>
      </x:c>
      <x:c r="J252" s="92" t="n">
        <x:f>IF(H252="","",MAX(H252,I252)/MIN(H252,I252))</x:f>
        <x:v>1.2529297115085716</x:v>
      </x:c>
    </x:row>
    <x:row r="253" ht="15" hidden="0" customHeight="1">
      <x:c r="A253" s="92" t="n">
        <x:v>245.5</x:v>
      </x:c>
      <x:c r="B253" s="92" t="n">
        <x:f>SQRT('拟合与方案'!$B$7^2+('拟合与方案'!$C$7*(A253-'拟合与方案'!$D$7))^2)</x:f>
        <x:v>983.9570598978398</x:v>
      </x:c>
      <x:c r="C253" s="92" t="n">
        <x:f>SQRT('拟合与方案'!$B$8^2+('拟合与方案'!$C$8*(A253-'拟合与方案'!$D$8))^2)</x:f>
        <x:v>678.3473851291102</x:v>
      </x:c>
      <x:c r="D253" s="92" t="n">
        <x:f>MAX(B253,C253)/MIN(B253,C253)</x:f>
        <x:v>1.4505209004536264</x:v>
      </x:c>
      <x:c r="E253" s="92" t="n">
        <x:f>IF(A253&lt;'拟合与方案'!$C$13,"",SQRT('拟合与方案'!$F$13^2+('拟合与方案'!$G$13*(A253-'拟合与方案'!$H$13))^2))</x:f>
        <x:v>850.7232220273171</x:v>
      </x:c>
      <x:c r="F253" s="92" t="n">
        <x:f>C253</x:f>
        <x:v>678.3473851291102</x:v>
      </x:c>
      <x:c r="G253" s="92" t="n">
        <x:f>IF(E253="","",MAX(E253,F253)/MIN(E253,F253))</x:f>
        <x:v>1.2541114489081409</x:v>
      </x:c>
      <x:c r="H253" s="92" t="n">
        <x:f>IF(A253&lt;'拟合与方案'!$C$15,"",SQRT('拟合与方案'!$F$15^2+('拟合与方案'!$G$15*(A253-'拟合与方案'!$H$15))^2))</x:f>
        <x:v>859.5884419640427</x:v>
      </x:c>
      <x:c r="I253" s="92" t="n">
        <x:f>C253</x:f>
        <x:v>678.3473851291102</x:v>
      </x:c>
      <x:c r="J253" s="92" t="n">
        <x:f>IF(H253="","",MAX(H253,I253)/MIN(H253,I253))</x:f>
        <x:v>1.2671802984844363</x:v>
      </x:c>
    </x:row>
    <x:row r="254" ht="15" hidden="0" customHeight="1">
      <x:c r="A254" s="92" t="n">
        <x:v>246</x:v>
      </x:c>
      <x:c r="B254" s="92" t="n">
        <x:f>SQRT('拟合与方案'!$B$7^2+('拟合与方案'!$C$7*(A254-'拟合与方案'!$D$7))^2)</x:f>
        <x:v>992.4839528075805</x:v>
      </x:c>
      <x:c r="C254" s="92" t="n">
        <x:f>SQRT('拟合与方案'!$B$8^2+('拟合与方案'!$C$8*(A254-'拟合与方案'!$D$8))^2)</x:f>
        <x:v>692.658607871909</x:v>
      </x:c>
      <x:c r="D254" s="92" t="n">
        <x:f>MAX(B254,C254)/MIN(B254,C254)</x:f>
        <x:v>1.4328616457346</x:v>
      </x:c>
      <x:c r="E254" s="92" t="n">
        <x:f>IF(A254&lt;'拟合与方案'!$C$13,"",SQRT('拟合与方案'!$F$13^2+('拟合与方案'!$G$13*(A254-'拟合与方案'!$H$13))^2))</x:f>
        <x:v>868.8696753877376</x:v>
      </x:c>
      <x:c r="F254" s="92" t="n">
        <x:f>C254</x:f>
        <x:v>692.658607871909</x:v>
      </x:c>
      <x:c r="G254" s="92" t="n">
        <x:f>IF(E254="","",MAX(E254,F254)/MIN(E254,F254))</x:f>
        <x:v>1.2543981486885885</x:v>
      </x:c>
      <x:c r="H254" s="92" t="n">
        <x:f>IF(A254&lt;'拟合与方案'!$C$15,"",SQRT('拟合与方案'!$F$15^2+('拟合与方案'!$G$15*(A254-'拟合与方案'!$H$15))^2))</x:f>
        <x:v>887.1728486592783</x:v>
      </x:c>
      <x:c r="I254" s="92" t="n">
        <x:f>C254</x:f>
        <x:v>692.658607871909</x:v>
      </x:c>
      <x:c r="J254" s="92" t="n">
        <x:f>IF(H254="","",MAX(H254,I254)/MIN(H254,I254))</x:f>
        <x:v>1.280822671626049</x:v>
      </x:c>
    </x:row>
    <x:row r="255" ht="15" hidden="0" customHeight="1">
      <x:c r="A255" s="92" t="n">
        <x:v>246.5</x:v>
      </x:c>
      <x:c r="B255" s="92" t="n">
        <x:f>SQRT('拟合与方案'!$B$7^2+('拟合与方案'!$C$7*(A255-'拟合与方案'!$D$7))^2)</x:f>
        <x:v>1001.3273032783991</x:v>
      </x:c>
      <x:c r="C255" s="92" t="n">
        <x:f>SQRT('拟合与方案'!$B$8^2+('拟合与方案'!$C$8*(A255-'拟合与方案'!$D$8))^2)</x:f>
        <x:v>707.3453628611237</x:v>
      </x:c>
      <x:c r="D255" s="92" t="n">
        <x:f>MAX(B255,C255)/MIN(B255,C255)</x:f>
        <x:v>1.4156130171379864</x:v>
      </x:c>
      <x:c r="E255" s="92" t="n">
        <x:f>IF(A255&lt;'拟合与方案'!$C$13,"",SQRT('拟合与方案'!$F$13^2+('拟合与方案'!$G$13*(A255-'拟合与方案'!$H$13))^2))</x:f>
        <x:v>887.4879297719209</x:v>
      </x:c>
      <x:c r="F255" s="92" t="n">
        <x:f>C255</x:f>
        <x:v>707.3453628611237</x:v>
      </x:c>
      <x:c r="G255" s="92" t="n">
        <x:f>IF(E255="","",MAX(E255,F255)/MIN(E255,F255))</x:f>
        <x:v>1.2546741328481223</x:v>
      </x:c>
      <x:c r="H255" s="92" t="n">
        <x:f>IF(A255&lt;'拟合与方案'!$C$15,"",SQRT('拟合与方案'!$F$15^2+('拟合与方案'!$G$15*(A255-'拟合与方案'!$H$15))^2))</x:f>
        <x:v>915.2006956568707</x:v>
      </x:c>
      <x:c r="I255" s="92" t="n">
        <x:f>C255</x:f>
        <x:v>707.3453628611237</x:v>
      </x:c>
      <x:c r="J255" s="92" t="n">
        <x:f>IF(H255="","",MAX(H255,I255)/MIN(H255,I255))</x:f>
        <x:v>1.2938526831574864</x:v>
      </x:c>
    </x:row>
    <x:row r="256" ht="15" hidden="0" customHeight="1">
      <x:c r="A256" s="92" t="n">
        <x:v>247</x:v>
      </x:c>
      <x:c r="B256" s="92" t="n">
        <x:f>SQRT('拟合与方案'!$B$7^2+('拟合与方案'!$C$7*(A256-'拟合与方案'!$D$7))^2)</x:f>
        <x:v>1010.4788027729704</x:v>
      </x:c>
      <x:c r="C256" s="92" t="n">
        <x:f>SQRT('拟合与方案'!$B$8^2+('拟合与方案'!$C$8*(A256-'拟合与方案'!$D$8))^2)</x:f>
        <x:v>722.3847456984071</x:v>
      </x:c>
      <x:c r="D256" s="92" t="n">
        <x:f>MAX(B256,C256)/MIN(B256,C256)</x:f>
        <x:v>1.3988097184915385</x:v>
      </x:c>
      <x:c r="E256" s="92" t="n">
        <x:f>IF(A256&lt;'拟合与方案'!$C$13,"",SQRT('拟合与方案'!$F$13^2+('拟合与方案'!$G$13*(A256-'拟合与方案'!$H$13))^2))</x:f>
        <x:v>906.5489167959511</x:v>
      </x:c>
      <x:c r="F256" s="92" t="n">
        <x:f>C256</x:f>
        <x:v>722.3847456984071</x:v>
      </x:c>
      <x:c r="G256" s="92" t="n">
        <x:f>IF(E256="","",MAX(E256,F256)/MIN(E256,F256))</x:f>
        <x:v>1.2549391749953034</x:v>
      </x:c>
      <x:c r="H256" s="92" t="n">
        <x:f>IF(A256&lt;'拟合与方案'!$C$15,"",SQRT('拟合与方案'!$F$15^2+('拟合与方案'!$G$15*(A256-'拟合与方案'!$H$15))^2))</x:f>
        <x:v>943.6324704862449</x:v>
      </x:c>
      <x:c r="I256" s="92" t="n">
        <x:f>C256</x:f>
        <x:v>722.3847456984071</x:v>
      </x:c>
      <x:c r="J256" s="92" t="n">
        <x:f>IF(H256="","",MAX(H256,I256)/MIN(H256,I256))</x:f>
        <x:v>1.306274081928369</x:v>
      </x:c>
    </x:row>
    <x:row r="257" ht="15" hidden="0" customHeight="1">
      <x:c r="A257" s="92" t="n">
        <x:v>247.5</x:v>
      </x:c>
      <x:c r="B257" s="92" t="n">
        <x:f>SQRT('拟合与方案'!$B$7^2+('拟合与方案'!$C$7*(A257-'拟合与方案'!$D$7))^2)</x:f>
        <x:v>1019.9301565640037</x:v>
      </x:c>
      <x:c r="C257" s="92" t="n">
        <x:f>SQRT('拟合与方案'!$B$8^2+('拟合与方案'!$C$8*(A257-'拟合与方案'!$D$8))^2)</x:f>
        <x:v>737.7551913940719</x:v>
      </x:c>
      <x:c r="D257" s="92" t="n">
        <x:f>MAX(B257,C257)/MIN(B257,C257)</x:f>
        <x:v>1.382477776451468</x:v>
      </x:c>
      <x:c r="E257" s="92" t="n">
        <x:f>IF(A257&lt;'拟合与方案'!$C$13,"",SQRT('拟合与方案'!$F$13^2+('拟合与方案'!$G$13*(A257-'拟合与方案'!$H$13))^2))</x:f>
        <x:v>926.0252976930916</x:v>
      </x:c>
      <x:c r="F257" s="92" t="n">
        <x:f>C257</x:f>
        <x:v>737.7551913940719</x:v>
      </x:c>
      <x:c r="G257" s="92" t="n">
        <x:f>IF(E257="","",MAX(E257,F257)/MIN(E257,F257))</x:f>
        <x:v>1.2551931975473627</x:v>
      </x:c>
      <x:c r="H257" s="92" t="n">
        <x:f>IF(A257&lt;'拟合与方案'!$C$15,"",SQRT('拟合与方案'!$F$15^2+('拟合与方案'!$G$15*(A257-'拟合与方案'!$H$15))^2))</x:f>
        <x:v>972.4327439333173</x:v>
      </x:c>
      <x:c r="I257" s="92" t="n">
        <x:f>C257</x:f>
        <x:v>737.7551913940719</x:v>
      </x:c>
      <x:c r="J257" s="92" t="n">
        <x:f>IF(H257="","",MAX(H257,I257)/MIN(H257,I257))</x:f>
        <x:v>1.3180967823429282</x:v>
      </x:c>
    </x:row>
    <x:row r="258" ht="15" hidden="0" customHeight="1">
      <x:c r="A258" s="92" t="n">
        <x:v>248</x:v>
      </x:c>
      <x:c r="B258" s="92" t="n">
        <x:f>SQRT('拟合与方案'!$B$7^2+('拟合与方案'!$C$7*(A258-'拟合与方案'!$D$7))^2)</x:f>
        <x:v>1029.6731076105289</x:v>
      </x:c>
      <x:c r="C258" s="92" t="n">
        <x:f>SQRT('拟合与方案'!$B$8^2+('拟合与方案'!$C$8*(A258-'拟合与方案'!$D$8))^2)</x:f>
        <x:v>753.4364387223311</x:v>
      </x:c>
      <x:c r="D258" s="92" t="n">
        <x:f>MAX(B258,C258)/MIN(B258,C258)</x:f>
        <x:v>1.3666356638612234</x:v>
      </x:c>
      <x:c r="E258" s="92" t="n">
        <x:f>IF(A258&lt;'拟合与方案'!$C$13,"",SQRT('拟合与方案'!$F$13^2+('拟合与方案'!$G$13*(A258-'拟合与方案'!$H$13))^2))</x:f>
        <x:v>945.891413303795</x:v>
      </x:c>
      <x:c r="F258" s="92" t="n">
        <x:f>C258</x:f>
        <x:v>753.4364387223311</x:v>
      </x:c>
      <x:c r="G258" s="92" t="n">
        <x:f>IF(E258="","",MAX(E258,F258)/MIN(E258,F258))</x:f>
        <x:v>1.255436244771791</x:v>
      </x:c>
      <x:c r="H258" s="92" t="n">
        <x:f>IF(A258&lt;'拟合与方案'!$C$15,"",SQRT('拟合与方案'!$F$15^2+('拟合与方案'!$G$15*(A258-'拟合与方案'!$H$15))^2))</x:f>
        <x:v>1001.5697278192566</x:v>
      </x:c>
      <x:c r="I258" s="92" t="n">
        <x:f>C258</x:f>
        <x:v>753.4364387223311</x:v>
      </x:c>
      <x:c r="J258" s="92" t="n">
        <x:f>IF(H258="","",MAX(H258,I258)/MIN(H258,I258))</x:f>
        <x:v>1.3293353975787354</x:v>
      </x:c>
    </x:row>
    <x:row r="259" ht="15" hidden="0" customHeight="1">
      <x:c r="A259" s="92" t="n">
        <x:v>248.5</x:v>
      </x:c>
      <x:c r="B259" s="92" t="n">
        <x:f>SQRT('拟合与方案'!$B$7^2+('拟合与方案'!$C$7*(A259-'拟合与方案'!$D$7))^2)</x:f>
        <x:v>1039.6994583322853</x:v>
      </x:c>
      <x:c r="C259" s="92" t="n">
        <x:f>SQRT('拟合与方案'!$B$8^2+('拟合与方案'!$C$8*(A259-'拟合与方案'!$D$8))^2)</x:f>
        <x:v>769.4094846795224</x:v>
      </x:c>
      <x:c r="D259" s="92" t="n">
        <x:f>MAX(B259,C259)/MIN(B259,C259)</x:f>
        <x:v>1.351295349270805</x:v>
      </x:c>
      <x:c r="E259" s="92" t="n">
        <x:f>IF(A259&lt;'拟合与方案'!$C$13,"",SQRT('拟合与方案'!$F$13^2+('拟合与方案'!$G$13*(A259-'拟合与方案'!$H$13))^2))</x:f>
        <x:v>966.1232219167115</x:v>
      </x:c>
      <x:c r="F259" s="92" t="n">
        <x:f>C259</x:f>
        <x:v>769.4094846795224</x:v>
      </x:c>
      <x:c r="G259" s="92" t="n">
        <x:f>IF(E259="","",MAX(E259,F259)/MIN(E259,F259))</x:f>
        <x:v>1.2556684589339644</x:v>
      </x:c>
      <x:c r="H259" s="92" t="n">
        <x:f>IF(A259&lt;'拟合与方案'!$C$15,"",SQRT('拟合与方案'!$F$15^2+('拟合与方案'!$G$15*(A259-'拟合与方案'!$H$15))^2))</x:f>
        <x:v>1031.0148757349489</x:v>
      </x:c>
      <x:c r="I259" s="92" t="n">
        <x:f>C259</x:f>
        <x:v>769.4094846795224</x:v>
      </x:c>
      <x:c r="J259" s="92" t="n">
        <x:f>IF(H259="","",MAX(H259,I259)/MIN(H259,I259))</x:f>
        <x:v>1.3400080142817468</x:v>
      </x:c>
    </x:row>
    <x:row r="260" ht="15" hidden="0" customHeight="1">
      <x:c r="A260" s="92" t="n">
        <x:v>249</x:v>
      </x:c>
      <x:c r="B260" s="92" t="n">
        <x:f>SQRT('拟合与方案'!$B$7^2+('拟合与方案'!$C$7*(A260-'拟合与方案'!$D$7))^2)</x:f>
        <x:v>1050.0010902989786</x:v>
      </x:c>
      <x:c r="C260" s="92" t="n">
        <x:f>SQRT('拟合与方案'!$B$8^2+('拟合与方案'!$C$8*(A260-'拟合与方案'!$D$8))^2)</x:f>
        <x:v>785.6565319460925</x:v>
      </x:c>
      <x:c r="D260" s="92" t="n">
        <x:f>MAX(B260,C260)/MIN(B260,C260)</x:f>
        <x:v>1.3364632604760474</x:v>
      </x:c>
      <x:c r="E260" s="92" t="n">
        <x:f>IF(A260&lt;'拟合与方案'!$C$13,"",SQRT('拟合与方案'!$F$13^2+('拟合与方案'!$G$13*(A260-'拟合与方案'!$H$13))^2))</x:f>
        <x:v>986.6982286708578</x:v>
      </x:c>
      <x:c r="F260" s="92" t="n">
        <x:f>C260</x:f>
        <x:v>785.6565319460925</x:v>
      </x:c>
      <x:c r="G260" s="92" t="n">
        <x:f>IF(E260="","",MAX(E260,F260)/MIN(E260,F260))</x:f>
        <x:v>1.2558900595235676</x:v>
      </x:c>
      <x:c r="H260" s="92" t="n">
        <x:f>IF(A260&lt;'拟合与方案'!$C$15,"",SQRT('拟合与方案'!$F$15^2+('拟合与方案'!$G$15*(A260-'拟合与方案'!$H$15))^2))</x:f>
        <x:v>1060.7425250182614</x:v>
      </x:c>
      <x:c r="I260" s="92" t="n">
        <x:f>C260</x:f>
        <x:v>785.6565319460925</x:v>
      </x:c>
      <x:c r="J260" s="92" t="n">
        <x:f>IF(H260="","",MAX(H260,I260)/MIN(H260,I260))</x:f>
        <x:v>1.3501351823433243</x:v>
      </x:c>
    </x:row>
    <x:row r="261" ht="15" hidden="0" customHeight="1">
      <x:c r="A261" s="92" t="n">
        <x:v>249.5</x:v>
      </x:c>
      <x:c r="B261" s="92" t="n">
        <x:f>SQRT('拟合与方案'!$B$7^2+('拟合与方案'!$C$7*(A261-'拟合与方案'!$D$7))^2)</x:f>
        <x:v>1060.5699818748944</x:v>
      </x:c>
      <x:c r="C261" s="92" t="n">
        <x:f>SQRT('拟合与方案'!$B$8^2+('拟合与方案'!$C$8*(A261-'拟合与方案'!$D$8))^2)</x:f>
        <x:v>802.1609317455249</x:v>
      </x:c>
      <x:c r="D261" s="92" t="n">
        <x:f>MAX(B261,C261)/MIN(B261,C261)</x:f>
        <x:v>1.3221411563475975</x:v>
      </x:c>
      <x:c r="E261" s="92" t="n">
        <x:f>IF(A261&lt;'拟合与方案'!$C$13,"",SQRT('拟合与方案'!$F$13^2+('拟合与方案'!$G$13*(A261-'拟合与方案'!$H$13))^2))</x:f>
        <x:v>1007.595409560948</x:v>
      </x:c>
      <x:c r="F261" s="92" t="n">
        <x:f>C261</x:f>
        <x:v>802.1609317455249</x:v>
      </x:c>
      <x:c r="G261" s="92" t="n">
        <x:f>IF(E261="","",MAX(E261,F261)/MIN(E261,F261))</x:f>
        <x:v>1.2561013254140811</x:v>
      </x:c>
      <x:c r="H261" s="92" t="n">
        <x:f>IF(A261&lt;'拟合与方案'!$C$15,"",SQRT('拟合与方案'!$F$15^2+('拟合与方案'!$G$15*(A261-'拟合与方案'!$H$15))^2))</x:f>
        <x:v>1090.7295773334627</x:v>
      </x:c>
      <x:c r="I261" s="92" t="n">
        <x:f>C261</x:f>
        <x:v>802.1609317455249</x:v>
      </x:c>
      <x:c r="J261" s="92" t="n">
        <x:f>IF(H261="","",MAX(H261,I261)/MIN(H261,I261))</x:f>
        <x:v>1.3597390924536854</x:v>
      </x:c>
    </x:row>
    <x:row r="262" ht="15" hidden="0" customHeight="1">
      <x:c r="A262" s="92" t="n">
        <x:v>250</x:v>
      </x:c>
      <x:c r="B262" s="92" t="n">
        <x:f>SQRT('拟合与方案'!$B$7^2+('拟合与方案'!$C$7*(A262-'拟合与方案'!$D$7))^2)</x:f>
        <x:v>1071.398223879271</x:v>
      </x:c>
      <x:c r="C262" s="92" t="n">
        <x:f>SQRT('拟合与方案'!$B$8^2+('拟合与方案'!$C$8*(A262-'拟合与方案'!$D$8))^2)</x:f>
        <x:v>818.9071240395149</x:v>
      </x:c>
      <x:c r="D262" s="92" t="n">
        <x:f>MAX(B262,C262)/MIN(B262,C262)</x:f>
        <x:v>1.3083269059795999</x:v>
      </x:c>
      <x:c r="E262" s="92" t="n">
        <x:f>IF(A262&lt;'拟合与方案'!$C$13,"",SQRT('拟合与方案'!$F$13^2+('拟合与方案'!$G$13*(A262-'拟合与方案'!$H$13))^2))</x:f>
        <x:v>1028.7951324947962</x:v>
      </x:c>
      <x:c r="F262" s="92" t="n">
        <x:f>C262</x:f>
        <x:v>818.9071240395149</x:v>
      </x:c>
      <x:c r="G262" s="92" t="n">
        <x:f>IF(E262="","",MAX(E262,F262)/MIN(E262,F262))</x:f>
        <x:v>1.2563025797357132</x:v>
      </x:c>
      <x:c r="H262" s="92" t="n">
        <x:f>IF(A262&lt;'拟合与方案'!$C$15,"",SQRT('拟合与方案'!$F$15^2+('拟合与方案'!$G$15*(A262-'拟合与方案'!$H$15))^2))</x:f>
        <x:v>1120.9552147389766</x:v>
      </x:c>
      <x:c r="I262" s="92" t="n">
        <x:f>C262</x:f>
        <x:v>818.9071240395149</x:v>
      </x:c>
      <x:c r="J262" s="92" t="n">
        <x:f>IF(H262="","",MAX(H262,I262)/MIN(H262,I262))</x:f>
        <x:v>1.36884291494439</x:v>
      </x:c>
    </x:row>
    <x:row r="263" ht="15" hidden="0" customHeight="1">
      <x:c r="A263" s="92" t="n">
        <x:v>250.5</x:v>
      </x:c>
      <x:c r="B263" s="92" t="n">
        <x:f>SQRT('拟合与方案'!$B$7^2+('拟合与方案'!$C$7*(A263-'拟合与方案'!$D$7))^2)</x:f>
        <x:v>1082.4780333390938</x:v>
      </x:c>
      <x:c r="C263" s="92" t="n">
        <x:f>SQRT('拟合与方案'!$B$8^2+('拟合与方案'!$C$8*(A263-'拟合与方案'!$D$8))^2)</x:f>
        <x:v>835.8805766023183</x:v>
      </x:c>
      <x:c r="D263" s="92" t="n">
        <x:f>MAX(B263,C263)/MIN(B263,C263)</x:f>
        <x:v>1.2950151775737428</x:v>
      </x:c>
      <x:c r="E263" s="92" t="n">
        <x:f>IF(A263&lt;'拟合与方案'!$C$13,"",SQRT('拟合与方案'!$F$13^2+('拟合与方案'!$G$13*(A263-'拟合与方案'!$H$13))^2))</x:f>
        <x:v>1050.2790773372005</x:v>
      </x:c>
      <x:c r="F263" s="92" t="n">
        <x:f>C263</x:f>
        <x:v>835.8805766023183</x:v>
      </x:c>
      <x:c r="G263" s="92" t="n">
        <x:f>IF(E263="","",MAX(E263,F263)/MIN(E263,F263))</x:f>
        <x:v>1.256494177202164</x:v>
      </x:c>
      <x:c r="H263" s="92" t="n">
        <x:f>IF(A263&lt;'拟合与方案'!$C$15,"",SQRT('拟合与方案'!$F$15^2+('拟合与方案'!$G$15*(A263-'拟合与方案'!$H$15))^2))</x:f>
        <x:v>1151.4006479603559</x:v>
      </x:c>
      <x:c r="I263" s="92" t="n">
        <x:f>C263</x:f>
        <x:v>835.8805766023183</x:v>
      </x:c>
      <x:c r="J263" s="92" t="n">
        <x:f>IF(H263="","",MAX(H263,I263)/MIN(H263,I263))</x:f>
        <x:v>1.3774702752880816</x:v>
      </x:c>
    </x:row>
    <x:row r="264" ht="15" hidden="0" customHeight="1">
      <x:c r="A264" s="92" t="n">
        <x:v>251</x:v>
      </x:c>
      <x:c r="B264" s="92" t="n">
        <x:f>SQRT('拟合与方案'!$B$7^2+('拟合与方案'!$C$7*(A264-'拟合与方案'!$D$7))^2)</x:f>
        <x:v>1093.8017654237724</x:v>
      </x:c>
      <x:c r="C264" s="92" t="n">
        <x:f>SQRT('拟合与方案'!$B$8^2+('拟合与方案'!$C$8*(A264-'拟合与方案'!$D$8))^2)</x:f>
        <x:v>853.0677241778128</x:v>
      </x:c>
      <x:c r="D264" s="92" t="n">
        <x:f>MAX(B264,C264)/MIN(B264,C264)</x:f>
        <x:v>1.282198041753343</x:v>
      </x:c>
      <x:c r="E264" s="92" t="n">
        <x:f>IF(A264&lt;'拟合与方案'!$C$13,"",SQRT('拟合与方案'!$F$13^2+('拟合与方案'!$G$13*(A264-'拟合与方案'!$H$13))^2))</x:f>
        <x:v>1072.0301564369265</x:v>
      </x:c>
      <x:c r="F264" s="92" t="n">
        <x:f>C264</x:f>
        <x:v>853.0677241778128</x:v>
      </x:c>
      <x:c r="G264" s="92" t="n">
        <x:f>IF(E264="","",MAX(E264,F264)/MIN(E264,F264))</x:f>
        <x:v>1.2566764936162014</x:v>
      </x:c>
      <x:c r="H264" s="92" t="n">
        <x:f>IF(A264&lt;'拟合与方案'!$C$15,"",SQRT('拟合与方案'!$F$15^2+('拟合与方案'!$G$15*(A264-'拟合与方案'!$H$15))^2))</x:f>
        <x:v>1182.0488936118943</x:v>
      </x:c>
      <x:c r="I264" s="92" t="n">
        <x:f>C264</x:f>
        <x:v>853.0677241778128</x:v>
      </x:c>
      <x:c r="J264" s="92" t="n">
        <x:f>IF(H264="","",MAX(H264,I264)/MIN(H264,I264))</x:f>
        <x:v>1.3856448440258993</x:v>
      </x:c>
    </x:row>
    <x:row r="265" ht="15" hidden="0" customHeight="1">
      <x:c r="A265" s="92" t="n">
        <x:v>251.5</x:v>
      </x:c>
      <x:c r="B265" s="92" t="n">
        <x:f>SQRT('拟合与方案'!$B$7^2+('拟合与方案'!$C$7*(A265-'拟合与方案'!$D$7))^2)</x:f>
        <x:v>1105.3619236608085</x:v>
      </x:c>
      <x:c r="C265" s="92" t="n">
        <x:f>SQRT('拟合与方案'!$B$8^2+('拟合与方案'!$C$8*(A265-'拟合与方案'!$D$8))^2)</x:f>
        <x:v>870.4559086371553</x:v>
      </x:c>
      <x:c r="D265" s="92" t="n">
        <x:f>MAX(B265,C265)/MIN(B265,C265)</x:f>
        <x:v>1.2698654954177266</x:v>
      </x:c>
      <x:c r="E265" s="92" t="n">
        <x:f>IF(A265&lt;'拟合与方案'!$C$13,"",SQRT('拟合与方案'!$F$13^2+('拟合与方案'!$G$13*(A265-'拟合与方案'!$H$13))^2))</x:f>
        <x:v>1094.0324367671583</x:v>
      </x:c>
      <x:c r="F265" s="92" t="n">
        <x:f>C265</x:f>
        <x:v>870.4559086371553</x:v>
      </x:c>
      <x:c r="G265" s="92" t="n">
        <x:f>IF(E265="","",MAX(E265,F265)/MIN(E265,F265))</x:f>
        <x:v>1.256849917280761</x:v>
      </x:c>
      <x:c r="H265" s="92" t="n">
        <x:f>IF(A265&lt;'拟合与方案'!$C$15,"",SQRT('拟合与方案'!$F$15^2+('拟合与方案'!$G$15*(A265-'拟合与方案'!$H$15))^2))</x:f>
        <x:v>1212.884577256728</x:v>
      </x:c>
      <x:c r="I265" s="92" t="n">
        <x:f>C265</x:f>
        <x:v>870.4559086371553</x:v>
      </x:c>
      <x:c r="J265" s="92" t="n">
        <x:f>IF(H265="","",MAX(H265,I265)/MIN(H265,I265))</x:f>
        <x:v>1.3933900215068933</x:v>
      </x:c>
    </x:row>
    <x:row r="266" ht="15" hidden="0" customHeight="1">
      <x:c r="A266" s="92" t="n">
        <x:v>252</x:v>
      </x:c>
      <x:c r="B266" s="92" t="n">
        <x:f>SQRT('拟合与方案'!$B$7^2+('拟合与方案'!$C$7*(A266-'拟合与方案'!$D$7))^2)</x:f>
        <x:v>1117.1511685383307</x:v>
      </x:c>
      <x:c r="C266" s="92" t="n">
        <x:f>SQRT('拟合与方案'!$B$8^2+('拟合与方案'!$C$8*(A266-'拟合与方案'!$D$8))^2)</x:f>
        <x:v>888.0333208181393</x:v>
      </x:c>
      <x:c r="D266" s="92" t="n">
        <x:f>MAX(B266,C266)/MIN(B266,C266)</x:f>
        <x:v>1.258005913009105</x:v>
      </x:c>
      <x:c r="E266" s="92" t="n">
        <x:f>IF(A266&lt;'拟合与方案'!$C$13,"",SQRT('拟合与方案'!$F$13^2+('拟合与方案'!$G$13*(A266-'拟合与方案'!$H$13))^2))</x:f>
        <x:v>1116.2710645079878</x:v>
      </x:c>
      <x:c r="F266" s="92" t="n">
        <x:f>C266</x:f>
        <x:v>888.0333208181393</x:v>
      </x:c>
      <x:c r="G266" s="92" t="n">
        <x:f>IF(E266="","",MAX(E266,F266)/MIN(E266,F266))</x:f>
        <x:v>1.2570148420552223</x:v>
      </x:c>
      <x:c r="H266" s="92" t="n">
        <x:f>IF(A266&lt;'拟合与方案'!$C$15,"",SQRT('拟合与方案'!$F$15^2+('拟合与方案'!$G$15*(A266-'拟合与方案'!$H$15))^2))</x:f>
        <x:v>1243.8937594095055</x:v>
      </x:c>
      <x:c r="I266" s="92" t="n">
        <x:f>C266</x:f>
        <x:v>888.0333208181393</x:v>
      </x:c>
      <x:c r="J266" s="92" t="n">
        <x:f>IF(H266="","",MAX(H266,I266)/MIN(H266,I266))</x:f>
        <x:v>1.4007287004315496</x:v>
      </x:c>
    </x:row>
    <x:row r="267" ht="15" hidden="0" customHeight="1">
      <x:c r="A267" s="92" t="n">
        <x:v>252.5</x:v>
      </x:c>
      <x:c r="B267" s="92" t="n">
        <x:f>SQRT('拟合与方案'!$B$7^2+('拟合与方案'!$C$7*(A267-'拟合与方案'!$D$7))^2)</x:f>
        <x:v>1129.1623246046008</x:v>
      </x:c>
      <x:c r="C267" s="92" t="n">
        <x:f>SQRT('拟合与方案'!$B$8^2+('拟合与方案'!$C$8*(A267-'拟合与方案'!$D$8))^2)</x:f>
        <x:v>905.7889445338703</x:v>
      </x:c>
      <x:c r="D267" s="92" t="n">
        <x:f>MAX(B267,C267)/MIN(B267,C267)</x:f>
        <x:v>1.2466064323468653</x:v>
      </x:c>
      <x:c r="E267" s="92" t="n">
        <x:f>IF(A267&lt;'拟合与方案'!$C$13,"",SQRT('拟合与方案'!$F$13^2+('拟合与方案'!$G$13*(A267-'拟合与方案'!$H$13))^2))</x:f>
        <x:v>1138.732192654406</x:v>
      </x:c>
      <x:c r="F267" s="92" t="n">
        <x:f>C267</x:f>
        <x:v>905.7889445338703</x:v>
      </x:c>
      <x:c r="G267" s="92" t="n">
        <x:f>IF(E267="","",MAX(E267,F267)/MIN(E267,F267))</x:f>
        <x:v>1.2571716618162203</x:v>
      </x:c>
      <x:c r="H267" s="92" t="n">
        <x:f>IF(A267&lt;'拟合与方案'!$C$15,"",SQRT('拟合与方案'!$F$15^2+('拟合与方案'!$G$15*(A267-'拟合与方案'!$H$15))^2))</x:f>
        <x:v>1275.0637818325588</x:v>
      </x:c>
      <x:c r="I267" s="92" t="n">
        <x:f>C267</x:f>
        <x:v>905.7889445338703</x:v>
      </x:c>
      <x:c r="J267" s="92" t="n">
        <x:f>IF(H267="","",MAX(H267,I267)/MIN(H267,I267))</x:f>
        <x:v>1.407683091659638</x:v>
      </x:c>
    </x:row>
    <x:row r="268" ht="15" hidden="0" customHeight="1">
      <x:c r="A268" s="92" t="n">
        <x:v>253</x:v>
      </x:c>
      <x:c r="B268" s="92" t="n">
        <x:f>SQRT('拟合与方案'!$B$7^2+('拟合与方案'!$C$7*(A268-'拟合与方案'!$D$7))^2)</x:f>
        <x:v>1141.3883861766103</x:v>
      </x:c>
      <x:c r="C268" s="92" t="n">
        <x:f>SQRT('拟合与方案'!$B$8^2+('拟合与方案'!$C$8*(A268-'拟合与方案'!$D$8))^2)</x:f>
        <x:v>923.7125030824293</x:v>
      </x:c>
      <x:c r="D268" s="92" t="n">
        <x:f>MAX(B268,C268)/MIN(B268,C268)</x:f>
        <x:v>1.2356532821281474</x:v>
      </x:c>
      <x:c r="E268" s="92" t="n">
        <x:f>IF(A268&lt;'拟合与方案'!$C$13,"",SQRT('拟合与方案'!$F$13^2+('拟合与方案'!$G$13*(A268-'拟合与方案'!$H$13))^2))</x:f>
        <x:v>1161.4029120369166</x:v>
      </x:c>
      <x:c r="F268" s="92" t="n">
        <x:f>C268</x:f>
        <x:v>923.7125030824293</x:v>
      </x:c>
      <x:c r="G268" s="92" t="n">
        <x:f>IF(E268="","",MAX(E268,F268)/MIN(E268,F268))</x:f>
        <x:v>1.2573207661055947</x:v>
      </x:c>
      <x:c r="H268" s="92" t="n">
        <x:f>IF(A268&lt;'拟合与方案'!$C$15,"",SQRT('拟合与方案'!$F$15^2+('拟合与方案'!$G$15*(A268-'拟合与方案'!$H$15))^2))</x:f>
        <x:v>1306.3831317331583</x:v>
      </x:c>
      <x:c r="I268" s="92" t="n">
        <x:f>C268</x:f>
        <x:v>923.7125030824293</x:v>
      </x:c>
      <x:c r="J268" s="92" t="n">
        <x:f>IF(H268="","",MAX(H268,I268)/MIN(H268,I268))</x:f>
        <x:v>1.4142746009973415</x:v>
      </x:c>
    </x:row>
    <x:row r="269" ht="15" hidden="0" customHeight="1">
      <x:c r="A269" s="92" t="n">
        <x:v>253.5</x:v>
      </x:c>
      <x:c r="B269" s="92" t="n">
        <x:f>SQRT('拟合与方案'!$B$7^2+('拟合与方案'!$C$7*(A269-'拟合与方案'!$D$7))^2)</x:f>
        <x:v>1153.8225217700083</x:v>
      </x:c>
      <x:c r="C269" s="92" t="n">
        <x:f>SQRT('拟合与方案'!$B$8^2+('拟合与方案'!$C$8*(A269-'拟合与方案'!$D$8))^2)</x:f>
        <x:v>941.7944084652261</x:v>
      </x:c>
      <x:c r="D269" s="92" t="n">
        <x:f>MAX(B269,C269)/MIN(B269,C269)</x:f>
        <x:v>1.2251320579088052</x:v>
      </x:c>
      <x:c r="E269" s="92" t="n">
        <x:f>IF(A269&lt;'拟合与方案'!$C$13,"",SQRT('拟合与方案'!$F$13^2+('拟合与方案'!$G$13*(A269-'拟合与方案'!$H$13))^2))</x:f>
        <x:v>1184.271185986873</x:v>
      </x:c>
      <x:c r="F269" s="92" t="n">
        <x:f>C269</x:f>
        <x:v>941.7944084652261</x:v>
      </x:c>
      <x:c r="G269" s="92" t="n">
        <x:f>IF(E269="","",MAX(E269,F269)/MIN(E269,F269))</x:f>
        <x:v>1.2574625367725358</x:v>
      </x:c>
      <x:c r="H269" s="92" t="n">
        <x:f>IF(A269&lt;'拟合与方案'!$C$15,"",SQRT('拟合与方案'!$F$15^2+('拟合与方案'!$G$15*(A269-'拟合与方案'!$H$15))^2))</x:f>
        <x:v>1337.841321721404</x:v>
      </x:c>
      <x:c r="I269" s="92" t="n">
        <x:f>C269</x:f>
        <x:v>941.7944084652261</x:v>
      </x:c>
      <x:c r="J269" s="92" t="n">
        <x:f>IF(H269="","",MAX(H269,I269)/MIN(H269,I269))</x:f>
        <x:v>1.4205237466864842</x:v>
      </x:c>
    </x:row>
    <x:row r="270" ht="15" hidden="0" customHeight="1">
      <x:c r="A270" s="92" t="n">
        <x:v>254</x:v>
      </x:c>
      <x:c r="B270" s="92" t="n">
        <x:f>SQRT('拟合与方案'!$B$7^2+('拟合与方案'!$C$7*(A270-'拟合与方案'!$D$7))^2)</x:f>
        <x:v>1166.4580773611317</x:v>
      </x:c>
      <x:c r="C270" s="92" t="n">
        <x:f>SQRT('拟合与方案'!$B$8^2+('拟合与方案'!$C$8*(A270-'拟合与方案'!$D$8))^2)</x:f>
        <x:v>960.0257134246235</x:v>
      </x:c>
      <x:c r="D270" s="92" t="n">
        <x:f>MAX(B270,C270)/MIN(B270,C270)</x:f>
        <x:v>1.215027952949425</x:v>
      </x:c>
      <x:c r="E270" s="92" t="n">
        <x:f>IF(A270&lt;'拟合与方案'!$C$13,"",SQRT('拟合与方案'!$F$13^2+('拟合与方案'!$G$13*(A270-'拟合与方案'!$H$13))^2))</x:f>
        <x:v>1207.3257887580648</x:v>
      </x:c>
      <x:c r="F270" s="92" t="n">
        <x:f>C270</x:f>
        <x:v>960.0257134246235</x:v>
      </x:c>
      <x:c r="G270" s="92" t="n">
        <x:f>IF(E270="","",MAX(E270,F270)/MIN(E270,F270))</x:f>
        <x:v>1.2575973454411626</x:v>
      </x:c>
      <x:c r="H270" s="92" t="n">
        <x:f>IF(A270&lt;'拟合与方案'!$C$15,"",SQRT('拟合与方案'!$F$15^2+('拟合与方案'!$G$15*(A270-'拟合与方案'!$H$15))^2))</x:f>
        <x:v>1369.4287836270148</x:v>
      </x:c>
      <x:c r="I270" s="92" t="n">
        <x:f>C270</x:f>
        <x:v>960.0257134246235</x:v>
      </x:c>
      <x:c r="J270" s="92" t="n">
        <x:f>IF(H270="","",MAX(H270,I270)/MIN(H270,I270))</x:f>
        <x:v>1.4264501090725583</x:v>
      </x:c>
    </x:row>
    <x:row r="271" ht="15" hidden="0" customHeight="1">
      <x:c r="A271" s="92" t="n">
        <x:v>254.5</x:v>
      </x:c>
      <x:c r="B271" s="92" t="n">
        <x:f>SQRT('拟合与方案'!$B$7^2+('拟合与方案'!$C$7*(A271-'拟合与方案'!$D$7))^2)</x:f>
        <x:v>1179.2885785891544</x:v>
      </x:c>
      <x:c r="C271" s="92" t="n">
        <x:f>SQRT('拟合与方案'!$B$8^2+('拟合与方案'!$C$8*(A271-'拟合与方案'!$D$8))^2)</x:f>
        <x:v>978.3980663365414</x:v>
      </x:c>
      <x:c r="D271" s="92" t="n">
        <x:f>MAX(B271,C271)/MIN(B271,C271)</x:f>
        <x:v>1.2053259497995699</x:v>
      </x:c>
      <x:c r="E271" s="92" t="n">
        <x:f>IF(A271&lt;'拟合与方案'!$C$13,"",SQRT('拟合与方案'!$F$13^2+('拟合与方案'!$G$13*(A271-'拟合与方案'!$H$13))^2))</x:f>
        <x:v>1230.5562477239378</x:v>
      </x:c>
      <x:c r="F271" s="92" t="n">
        <x:f>C271</x:f>
        <x:v>978.3980663365414</x:v>
      </x:c>
      <x:c r="G271" s="92" t="n">
        <x:f>IF(E271="","",MAX(E271,F271)/MIN(E271,F271))</x:f>
        <x:v>1.257725551657684</x:v>
      </x:c>
      <x:c r="H271" s="92" t="n">
        <x:f>IF(A271&lt;'拟合与方案'!$C$15,"",SQRT('拟合与方案'!$F$15^2+('拟合与方案'!$G$15*(A271-'拟合与方案'!$H$15))^2))</x:f>
        <x:v>1401.1367744940571</x:v>
      </x:c>
      <x:c r="I271" s="92" t="n">
        <x:f>C271</x:f>
        <x:v>978.3980663365414</x:v>
      </x:c>
      <x:c r="J271" s="92" t="n">
        <x:f>IF(H271="","",MAX(H271,I271)/MIN(H271,I271))</x:f>
        <x:v>1.4320723054373918</x:v>
      </x:c>
    </x:row>
    <x:row r="272" ht="15" hidden="0" customHeight="1">
      <x:c r="A272" s="92" t="n">
        <x:v>255</x:v>
      </x:c>
      <x:c r="B272" s="92" t="n">
        <x:f>SQRT('拟合与方案'!$B$7^2+('拟合与方案'!$C$7*(A272-'拟合与方案'!$D$7))^2)</x:f>
        <x:v>1192.3077320025654</x:v>
      </x:c>
      <x:c r="C272" s="92" t="n">
        <x:f>SQRT('拟合与方案'!$B$8^2+('拟合与方案'!$C$8*(A272-'拟合与方案'!$D$8))^2)</x:f>
        <x:v>996.9036689370962</x:v>
      </x:c>
      <x:c r="D272" s="92" t="n">
        <x:f>MAX(B272,C272)/MIN(B272,C272)</x:f>
        <x:v>1.1960109779451509</x:v>
      </x:c>
      <x:c r="E272" s="92" t="n">
        <x:f>IF(A272&lt;'拟合与方案'!$C$13,"",SQRT('拟合与方案'!$F$13^2+('拟合与方案'!$G$13*(A272-'拟合与方案'!$H$13))^2))</x:f>
        <x:v>1253.9527893007596</x:v>
      </x:c>
      <x:c r="F272" s="92" t="n">
        <x:f>C272</x:f>
        <x:v>996.9036689370962</x:v>
      </x:c>
      <x:c r="G272" s="92" t="n">
        <x:f>IF(E272="","",MAX(E272,F272)/MIN(E272,F272))</x:f>
        <x:v>1.2578475015923358</x:v>
      </x:c>
      <x:c r="H272" s="92" t="n">
        <x:f>IF(A272&lt;'拟合与方案'!$C$15,"",SQRT('拟合与方案'!$F$15^2+('拟合与方案'!$G$15*(A272-'拟合与方案'!$H$15))^2))</x:f>
        <x:v>1432.9572932734627</x:v>
      </x:c>
      <x:c r="I272" s="92" t="n">
        <x:f>C272</x:f>
        <x:v>996.9036689370962</x:v>
      </x:c>
      <x:c r="J272" s="92" t="n">
        <x:f>IF(H272="","",MAX(H272,I272)/MIN(H272,I272))</x:f>
        <x:v>1.437407984265209</x:v>
      </x:c>
    </x:row>
    <x:row r="273" ht="15" hidden="0" customHeight="1">
      <x:c r="A273" s="92" t="n">
        <x:v>255.5</x:v>
      </x:c>
      <x:c r="B273" s="92" t="n">
        <x:f>SQRT('拟合与方案'!$B$7^2+('拟合与方案'!$C$7*(A273-'拟合与方案'!$D$7))^2)</x:f>
        <x:v>1205.5094254496096</x:v>
      </x:c>
      <x:c r="C273" s="92" t="n">
        <x:f>SQRT('拟合与方案'!$B$8^2+('拟合与方案'!$C$8*(A273-'拟合与方案'!$D$8))^2)</x:f>
        <x:v>1015.5352368204351</x:v>
      </x:c>
      <x:c r="D273" s="92" t="n">
        <x:f>MAX(B273,C273)/MIN(B273,C273)</x:f>
        <x:v>1.187068042290654</x:v>
      </x:c>
      <x:c r="E273" s="92" t="n">
        <x:f>IF(A273&lt;'拟合与方案'!$C$13,"",SQRT('拟合与方案'!$F$13^2+('拟合与方案'!$G$13*(A273-'拟合与方案'!$H$13))^2))</x:f>
        <x:v>1277.506288496655</x:v>
      </x:c>
      <x:c r="F273" s="92" t="n">
        <x:f>C273</x:f>
        <x:v>1015.5352368204351</x:v>
      </x:c>
      <x:c r="G273" s="92" t="n">
        <x:f>IF(E273="","",MAX(E273,F273)/MIN(E273,F273))</x:f>
        <x:v>1.2579635271902843</x:v>
      </x:c>
      <x:c r="H273" s="92" t="n">
        <x:f>IF(A273&lt;'拟合与方案'!$C$15,"",SQRT('拟合与方案'!$F$15^2+('拟合与方案'!$G$15*(A273-'拟合与方案'!$H$15))^2))</x:f>
        <x:v>1464.8830069135754</x:v>
      </x:c>
      <x:c r="I273" s="92" t="n">
        <x:f>C273</x:f>
        <x:v>1015.5352368204351</x:v>
      </x:c>
      <x:c r="J273" s="92" t="n">
        <x:f>IF(H273="","",MAX(H273,I273)/MIN(H273,I273))</x:f>
        <x:v>1.44247383429059</x:v>
      </x:c>
    </x:row>
    <x:row r="274" ht="15" hidden="0" customHeight="1">
      <x:c r="A274" s="92" t="n">
        <x:v>256</x:v>
      </x:c>
      <x:c r="B274" s="92" t="n">
        <x:f>SQRT('拟合与方案'!$B$7^2+('拟合与方案'!$C$7*(A274-'拟合与方案'!$D$7))^2)</x:f>
        <x:v>1218.8877277071365</x:v>
      </x:c>
      <x:c r="C274" s="92" t="n">
        <x:f>SQRT('拟合与方案'!$B$8^2+('拟合与方案'!$C$8*(A274-'拟合与方案'!$D$8))^2)</x:f>
        <x:v>1034.2859626148686</x:v>
      </x:c>
      <x:c r="D274" s="92" t="n">
        <x:f>MAX(B274,C274)/MIN(B274,C274)</x:f>
        <x:v>1.1784823267112319</x:v>
      </x:c>
      <x:c r="E274" s="92" t="n">
        <x:f>IF(A274&lt;'拟合与方案'!$C$13,"",SQRT('拟合与方案'!$F$13^2+('拟合与方案'!$G$13*(A274-'拟合与方案'!$H$13))^2))</x:f>
        <x:v>1301.2082219508325</x:v>
      </x:c>
      <x:c r="F274" s="92" t="n">
        <x:f>C274</x:f>
        <x:v>1034.2859626148686</x:v>
      </x:c>
      <x:c r="G274" s="92" t="n">
        <x:f>IF(E274="","",MAX(E274,F274)/MIN(E274,F274))</x:f>
        <x:v>1.2580739456824246</x:v>
      </x:c>
      <x:c r="H274" s="92" t="n">
        <x:f>IF(A274&lt;'拟合与方案'!$C$15,"",SQRT('拟合与方案'!$F$15^2+('拟合与方案'!$G$15*(A274-'拟合与方案'!$H$15))^2))</x:f>
        <x:v>1496.9071847096136</x:v>
      </x:c>
      <x:c r="I274" s="92" t="n">
        <x:f>C274</x:f>
        <x:v>1034.2859626148686</x:v>
      </x:c>
      <x:c r="J274" s="92" t="n">
        <x:f>IF(H274="","",MAX(H274,I274)/MIN(H274,I274))</x:f>
        <x:v>1.4472856045780143</x:v>
      </x:c>
    </x:row>
    <x:row r="275" ht="15" hidden="0" customHeight="1">
      <x:c r="A275" s="92" t="n">
        <x:v>256.5</x:v>
      </x:c>
      <x:c r="B275" s="92" t="n">
        <x:f>SQRT('拟合与方案'!$B$7^2+('拟合与方案'!$C$7*(A275-'拟合与方案'!$D$7))^2)</x:f>
        <x:v>1232.4368874367397</x:v>
      </x:c>
      <x:c r="C275" s="92" t="n">
        <x:f>SQRT('拟合与方案'!$B$8^2+('拟合与方案'!$C$8*(A275-'拟合与方案'!$D$8))^2)</x:f>
        <x:v>1053.1494817237137</x:v>
      </x:c>
      <x:c r="D275" s="92" t="n">
        <x:f>MAX(B275,C275)/MIN(B275,C275)</x:f>
        <x:v>1.170239276403177</x:v>
      </x:c>
      <x:c r="E275" s="92" t="n">
        <x:f>IF(A275&lt;'拟合与方案'!$C$13,"",SQRT('拟合与方案'!$F$13^2+('拟合与方案'!$G$13*(A275-'拟合与方案'!$H$13))^2))</x:f>
        <x:v>1325.050624303464</x:v>
      </x:c>
      <x:c r="F275" s="92" t="n">
        <x:f>C275</x:f>
        <x:v>1053.1494817237137</x:v>
      </x:c>
      <x:c r="G275" s="92" t="n">
        <x:f>IF(E275="","",MAX(E275,F275)/MIN(E275,F275))</x:f>
        <x:v>1.2581790593816973</x:v>
      </x:c>
      <x:c r="H275" s="92" t="n">
        <x:f>IF(A275&lt;'拟合与方案'!$C$15,"",SQRT('拟合与方案'!$F$15^2+('拟合与方案'!$G$15*(A275-'拟合与方案'!$H$15))^2))</x:f>
        <x:v>1529.0236399150006</x:v>
      </x:c>
      <x:c r="I275" s="92" t="n">
        <x:f>C275</x:f>
        <x:v>1053.1494817237137</x:v>
      </x:c>
      <x:c r="J275" s="92" t="n">
        <x:f>IF(H275="","",MAX(H275,I275)/MIN(H275,I275))</x:f>
        <x:v>1.4518581326293896</x:v>
      </x:c>
    </x:row>
    <x:row r="276" ht="15" hidden="0" customHeight="1">
      <x:c r="A276" s="92" t="n">
        <x:v>257</x:v>
      </x:c>
      <x:c r="B276" s="92" t="n">
        <x:f>SQRT('拟合与方案'!$B$7^2+('拟合与方案'!$C$7*(A276-'拟合与方案'!$D$7))^2)</x:f>
        <x:v>1246.1513315512382</x:v>
      </x:c>
      <x:c r="C276" s="92" t="n">
        <x:f>SQRT('拟合与方案'!$B$8^2+('拟合与方案'!$C$8*(A276-'拟合与方案'!$D$8))^2)</x:f>
        <x:v>1072.1198405039534</x:v>
      </x:c>
      <x:c r="D276" s="92" t="n">
        <x:f>MAX(B276,C276)/MIN(B276,C276)</x:f>
        <x:v>1.1623246622928654</x:v>
      </x:c>
      <x:c r="E276" s="92" t="n">
        <x:f>IF(A276&lt;'拟合与方案'!$C$13,"",SQRT('拟合与方案'!$F$13^2+('拟合与方案'!$G$13*(A276-'拟合与方案'!$H$13))^2))</x:f>
        <x:v>1349.026047721895</x:v>
      </x:c>
      <x:c r="F276" s="92" t="n">
        <x:f>C276</x:f>
        <x:v>1072.1198405039534</x:v>
      </x:c>
      <x:c r="G276" s="92" t="n">
        <x:f>IF(E276="","",MAX(E276,F276)/MIN(E276,F276))</x:f>
        <x:v>1.2582791557031359</x:v>
      </x:c>
      <x:c r="H276" s="92" t="n">
        <x:f>IF(A276&lt;'拟合与方案'!$C$15,"",SQRT('拟合与方案'!$F$15^2+('拟合与方案'!$G$15*(A276-'拟合与方案'!$H$15))^2))</x:f>
        <x:v>1561.2266777425773</x:v>
      </x:c>
      <x:c r="I276" s="92" t="n">
        <x:f>C276</x:f>
        <x:v>1072.1198405039534</x:v>
      </x:c>
      <x:c r="J276" s="92" t="n">
        <x:f>IF(H276="","",MAX(H276,I276)/MIN(H276,I276))</x:f>
        <x:v>1.456205378130786</x:v>
      </x:c>
    </x:row>
    <x:row r="277" ht="15" hidden="0" customHeight="1">
      <x:c r="A277" s="92" t="n">
        <x:v>257.5</x:v>
      </x:c>
      <x:c r="B277" s="92" t="n">
        <x:f>SQRT('拟合与方案'!$B$7^2+('拟合与方案'!$C$7*(A277-'拟合与方案'!$D$7))^2)</x:f>
        <x:v>1260.0256630686388</x:v>
      </x:c>
      <x:c r="C277" s="92" t="n">
        <x:f>SQRT('拟合与方案'!$B$8^2+('拟合与方案'!$C$8*(A277-'拟合与方案'!$D$8))^2)</x:f>
        <x:v>1091.1914667481833</x:v>
      </x:c>
      <x:c r="D277" s="92" t="n">
        <x:f>MAX(B277,C277)/MIN(B277,C277)</x:f>
        <x:v>1.1547246303378742</x:v>
      </x:c>
      <x:c r="E277" s="92" t="n">
        <x:f>IF(A277&lt;'拟合与方案'!$C$13,"",SQRT('拟合与方案'!$F$13^2+('拟合与方案'!$G$13*(A277-'拟合与方案'!$H$13))^2))</x:f>
        <x:v>1373.1275244011094</x:v>
      </x:c>
      <x:c r="F277" s="92" t="n">
        <x:f>C277</x:f>
        <x:v>1091.1914667481833</x:v>
      </x:c>
      <x:c r="G277" s="92" t="n">
        <x:f>IF(E277="","",MAX(E277,F277)/MIN(E277,F277))</x:f>
        <x:v>1.258374507356727</x:v>
      </x:c>
      <x:c r="H277" s="92" t="n">
        <x:f>IF(A277&lt;'拟合与方案'!$C$15,"",SQRT('拟合与方案'!$F$15^2+('拟合与方案'!$G$15*(A277-'拟合与方案'!$H$15))^2))</x:f>
        <x:v>1593.5110489933502</x:v>
      </x:c>
      <x:c r="I277" s="92" t="n">
        <x:f>C277</x:f>
        <x:v>1091.1914667481833</x:v>
      </x:c>
      <x:c r="J277" s="92" t="n">
        <x:f>IF(H277="","",MAX(H277,I277)/MIN(H277,I277))</x:f>
        <x:v>1.4603404604529302</x:v>
      </x:c>
    </x:row>
    <x:row r="278" ht="15" hidden="0" customHeight="1">
      <x:c r="A278" s="92" t="n">
        <x:v>258</x:v>
      </x:c>
      <x:c r="B278" s="92" t="n">
        <x:f>SQRT('拟合与方案'!$B$7^2+('拟合与方案'!$C$7*(A278-'拟合与方案'!$D$7))^2)</x:f>
        <x:v>1274.0546585247723</x:v>
      </x:c>
      <x:c r="C278" s="92" t="n">
        <x:f>SQRT('拟合与方案'!$B$8^2+('拟合与方案'!$C$8*(A278-'拟合与方案'!$D$8))^2)</x:f>
        <x:v>1110.3591423320722</x:v>
      </x:c>
      <x:c r="D278" s="92" t="n">
        <x:f>MAX(B278,C278)/MIN(B278,C278)</x:f>
        <x:v>1.147425738170528</x:v>
      </x:c>
      <x:c r="E278" s="92" t="n">
        <x:f>IF(A278&lt;'拟合与方案'!$C$13,"",SQRT('拟合与方案'!$F$13^2+('拟合与方案'!$G$13*(A278-'拟合与方案'!$H$13))^2))</x:f>
        <x:v>1397.3485318539133</x:v>
      </x:c>
      <x:c r="F278" s="92" t="n">
        <x:f>C278</x:f>
        <x:v>1110.3591423320722</x:v>
      </x:c>
      <x:c r="G278" s="92" t="n">
        <x:f>IF(E278="","",MAX(E278,F278)/MIN(E278,F278))</x:f>
        <x:v>1.2584653726712973</x:v>
      </x:c>
      <x:c r="H278" s="92" t="n">
        <x:f>IF(A278&lt;'拟合与方案'!$C$15,"",SQRT('拟合与方案'!$F$15^2+('拟合与方案'!$G$15*(A278-'拟合与方案'!$H$15))^2))</x:f>
        <x:v>1625.8719086463118</x:v>
      </x:c>
      <x:c r="I278" s="92" t="n">
        <x:f>C278</x:f>
        <x:v>1110.3591423320722</x:v>
      </x:c>
      <x:c r="J278" s="92" t="n">
        <x:f>IF(H278="","",MAX(H278,I278)/MIN(H278,I278))</x:f>
        <x:v>1.4642756984298928</x:v>
      </x:c>
    </x:row>
    <x:row r="279" ht="15" hidden="0" customHeight="1">
      <x:c r="A279" s="92" t="n">
        <x:v>258.5</x:v>
      </x:c>
      <x:c r="B279" s="92" t="n">
        <x:f>SQRT('拟合与方案'!$B$7^2+('拟合与方案'!$C$7*(A279-'拟合与方案'!$D$7))^2)</x:f>
        <x:v>1288.2332650099743</x:v>
      </x:c>
      <x:c r="C279" s="92" t="n">
        <x:f>SQRT('拟合与方案'!$B$8^2+('拟合与方案'!$C$8*(A279-'拟合与方案'!$D$8))^2)</x:f>
        <x:v>1129.6179778895662</x:v>
      </x:c>
      <x:c r="D279" s="92" t="n">
        <x:f>MAX(B279,C279)/MIN(B279,C279)</x:f>
        <x:v>1.1404149811927964</x:v>
      </x:c>
      <x:c r="E279" s="92" t="n">
        <x:f>IF(A279&lt;'拟合与方案'!$C$13,"",SQRT('拟合与方案'!$F$13^2+('拟合与方案'!$G$13*(A279-'拟合与方案'!$H$13))^2))</x:f>
        <x:v>1421.682960807809</x:v>
      </x:c>
      <x:c r="F279" s="92" t="n">
        <x:f>C279</x:f>
        <x:v>1129.6179778895662</x:v>
      </x:c>
      <x:c r="G279" s="92" t="n">
        <x:f>IF(E279="","",MAX(E279,F279)/MIN(E279,F279))</x:f>
        <x:v>1.2585519960154137</x:v>
      </x:c>
      <x:c r="H279" s="92" t="n">
        <x:f>IF(A279&lt;'拟合与方案'!$C$15,"",SQRT('拟合与方案'!$F$15^2+('拟合与方案'!$G$15*(A279-'拟合与方案'!$H$15))^2))</x:f>
        <x:v>1658.3047788265787</x:v>
      </x:c>
      <x:c r="I279" s="92" t="n">
        <x:f>C279</x:f>
        <x:v>1129.6179778895662</x:v>
      </x:c>
      <x:c r="J279" s="92" t="n">
        <x:f>IF(H279="","",MAX(H279,I279)/MIN(H279,I279))</x:f>
        <x:v>1.468022651272551</x:v>
      </x:c>
    </x:row>
    <x:row r="280" ht="15" hidden="0" customHeight="1">
      <x:c r="A280" s="92" t="n">
        <x:v>259</x:v>
      </x:c>
      <x:c r="B280" s="92" t="n">
        <x:f>SQRT('拟合与方案'!$B$7^2+('拟合与方案'!$C$7*(A280-'拟合与方案'!$D$7))^2)</x:f>
        <x:v>1302.5565968894848</x:v>
      </x:c>
      <x:c r="C280" s="92" t="n">
        <x:f>SQRT('拟合与方案'!$B$8^2+('拟合与方案'!$C$8*(A280-'拟合与方案'!$D$8))^2)</x:f>
        <x:v>1148.9633893805074</x:v>
      </x:c>
      <x:c r="D280" s="92" t="n">
        <x:f>MAX(B280,C280)/MIN(B280,C280)</x:f>
        <x:v>1.1336798099300545</x:v>
      </x:c>
      <x:c r="E280" s="92" t="n">
        <x:f>IF(A280&lt;'拟合与方案'!$C$13,"",SQRT('拟合与方案'!$F$13^2+('拟合与方案'!$G$13*(A280-'拟合与方案'!$H$13))^2))</x:f>
        <x:v>1446.125085529891</x:v>
      </x:c>
      <x:c r="F280" s="92" t="n">
        <x:f>C280</x:f>
        <x:v>1148.9633893805074</x:v>
      </x:c>
      <x:c r="G280" s="92" t="n">
        <x:f>IF(E280="","",MAX(E280,F280)/MIN(E280,F280))</x:f>
        <x:v>1.2586346082877418</x:v>
      </x:c>
      <x:c r="H280" s="92" t="n">
        <x:f>IF(A280&lt;'拟合与方案'!$C$15,"",SQRT('拟合与方案'!$F$15^2+('拟合与方案'!$G$15*(A280-'拟合与方案'!$H$15))^2))</x:f>
        <x:v>1690.805515642023</x:v>
      </x:c>
      <x:c r="I280" s="92" t="n">
        <x:f>C280</x:f>
        <x:v>1148.9633893805074</x:v>
      </x:c>
      <x:c r="J280" s="92" t="n">
        <x:f>IF(H280="","",MAX(H280,I280)/MIN(H280,I280))</x:f>
        <x:v>1.4715921597411938</x:v>
      </x:c>
    </x:row>
    <x:row r="281" ht="15" hidden="0" customHeight="1">
      <x:c r="A281" s="92" t="n">
        <x:v>259.5</x:v>
      </x:c>
      <x:c r="B281" s="92" t="n">
        <x:f>SQRT('拟合与方案'!$B$7^2+('拟合与方案'!$C$7*(A281-'拟合与方案'!$D$7))^2)</x:f>
        <x:v>1317.0199322617887</x:v>
      </x:c>
      <x:c r="C281" s="92" t="n">
        <x:f>SQRT('拟合与方案'!$B$8^2+('拟合与方案'!$C$8*(A281-'拟合与方案'!$D$8))^2)</x:f>
        <x:v>1168.391076419496</x:v>
      </x:c>
      <x:c r="D281" s="92" t="n">
        <x:f>MAX(B281,C281)/MIN(B281,C281)</x:f>
        <x:v>1.1272081401868987</x:v>
      </x:c>
      <x:c r="E281" s="92" t="n">
        <x:f>IF(A281&lt;'拟合与方案'!$C$13,"",SQRT('拟合与方案'!$F$13^2+('拟合与方案'!$G$13*(A281-'拟合与方案'!$H$13))^2))</x:f>
        <x:v>1470.6695364074883</x:v>
      </x:c>
      <x:c r="F281" s="92" t="n">
        <x:f>C281</x:f>
        <x:v>1168.391076419496</x:v>
      </x:c>
      <x:c r="G281" s="92" t="n">
        <x:f>IF(E281="","",MAX(E281,F281)/MIN(E281,F281))</x:f>
        <x:v>1.2587134274547156</x:v>
      </x:c>
      <x:c r="H281" s="92" t="n">
        <x:f>IF(A281&lt;'拟合与方案'!$C$15,"",SQRT('拟合与方案'!$F$15^2+('拟合与方案'!$G$15*(A281-'拟合与方案'!$H$15))^2))</x:f>
        <x:v>1723.3702794421342</x:v>
      </x:c>
      <x:c r="I281" s="92" t="n">
        <x:f>C281</x:f>
        <x:v>1168.391076419496</x:v>
      </x:c>
      <x:c r="J281" s="92" t="n">
        <x:f>IF(H281="","",MAX(H281,I281)/MIN(H281,I281))</x:f>
        <x:v>1.4749943869165432</x:v>
      </x:c>
    </x:row>
    <x:row r="282" ht="15" hidden="0" customHeight="1">
      <x:c r="A282" s="92" t="n">
        <x:v>260</x:v>
      </x:c>
      <x:c r="B282" s="92" t="n">
        <x:f>SQRT('拟合与方案'!$B$7^2+('拟合与方案'!$C$7*(A282-'拟合与方案'!$D$7))^2)</x:f>
        <x:v>1331.6187092038958</x:v>
      </x:c>
      <x:c r="C282" s="92" t="n">
        <x:f>SQRT('拟合与方案'!$B$8^2+('拟合与方案'!$C$8*(A282-'拟合与方案'!$D$8))^2)</x:f>
        <x:v>1187.8970022401807</x:v>
      </x:c>
      <x:c r="D282" s="92" t="n">
        <x:f>MAX(B282,C282)/MIN(B282,C282)</x:f>
        <x:v>1.1209883573177468</x:v>
      </x:c>
      <x:c r="E282" s="92" t="n">
        <x:f>IF(A282&lt;'拟合与方案'!$C$13,"",SQRT('拟合与方案'!$F$13^2+('拟合与方案'!$G$13*(A282-'拟合与方案'!$H$13))^2))</x:f>
        <x:v>1495.311274620038</x:v>
      </x:c>
      <x:c r="F282" s="92" t="n">
        <x:f>C282</x:f>
        <x:v>1187.8970022401807</x:v>
      </x:c>
      <x:c r="G282" s="92" t="n">
        <x:f>IF(E282="","",MAX(E282,F282)/MIN(E282,F282))</x:f>
        <x:v>1.258788659117856</x:v>
      </x:c>
      <x:c r="H282" s="92" t="n">
        <x:f>IF(A282&lt;'拟合与方案'!$C$15,"",SQRT('拟合与方案'!$F$15^2+('拟合与方案'!$G$15*(A282-'拟合与方案'!$H$15))^2))</x:f>
        <x:v>1755.9955081081457</x:v>
      </x:c>
      <x:c r="I282" s="92" t="n">
        <x:f>C282</x:f>
        <x:v>1187.8970022401807</x:v>
      </x:c>
      <x:c r="J282" s="92" t="n">
        <x:f>IF(H282="","",MAX(H282,I282)/MIN(H282,I282))</x:f>
        <x:v>1.4782388580799712</x:v>
      </x:c>
    </x:row>
    <x:row r="283" ht="15" hidden="0" customHeight="1">
      <x:c r="A283" s="92" t="n">
        <x:v>260.5</x:v>
      </x:c>
      <x:c r="B283" s="92" t="n">
        <x:f>SQRT('拟合与方案'!$B$7^2+('拟合与方案'!$C$7*(A283-'拟合与方案'!$D$7))^2)</x:f>
        <x:v>1346.3485218476405</x:v>
      </x:c>
      <x:c r="C283" s="92" t="n">
        <x:f>SQRT('拟合与方案'!$B$8^2+('拟合与方案'!$C$8*(A283-'拟合与方案'!$D$8))^2)</x:f>
        <x:v>1207.4773751753035</x:v>
      </x:c>
      <x:c r="D283" s="92" t="n">
        <x:f>MAX(B283,C283)/MIN(B283,C283)</x:f>
        <x:v>1.1150093157250052</x:v>
      </x:c>
      <x:c r="E283" s="92" t="n">
        <x:f>IF(A283&lt;'拟合与方案'!$C$13,"",SQRT('拟合与方案'!$F$13^2+('拟合与方案'!$G$13*(A283-'拟合与方案'!$H$13))^2))</x:f>
        <x:v>1520.045568746277</x:v>
      </x:c>
      <x:c r="F283" s="92" t="n">
        <x:f>C283</x:f>
        <x:v>1207.4773751753035</x:v>
      </x:c>
      <x:c r="G283" s="92" t="n">
        <x:f>IF(E283="","",MAX(E283,F283)/MIN(E283,F283))</x:f>
        <x:v>1.258860497096763</x:v>
      </x:c>
      <x:c r="H283" s="92" t="n">
        <x:f>IF(A283&lt;'拟合与方案'!$C$15,"",SQRT('拟合与方案'!$F$15^2+('拟合与方案'!$G$15*(A283-'拟合与方案'!$H$15))^2))</x:f>
        <x:v>1788.6778930316277</x:v>
      </x:c>
      <x:c r="I283" s="92" t="n">
        <x:f>C283</x:f>
        <x:v>1207.4773751753035</x:v>
      </x:c>
      <x:c r="J283" s="92" t="n">
        <x:f>IF(H283="","",MAX(H283,I283)/MIN(H283,I283))</x:f>
        <x:v>1.4813344993498903</x:v>
      </x:c>
    </x:row>
    <x:row r="284" ht="15" hidden="0" customHeight="1">
      <x:c r="A284" s="92" t="n">
        <x:v>261</x:v>
      </x:c>
      <x:c r="B284" s="92" t="n">
        <x:f>SQRT('拟合与方案'!$B$7^2+('拟合与方案'!$C$7*(A284-'拟合与方案'!$D$7))^2)</x:f>
        <x:v>1361.2051163264396</x:v>
      </x:c>
      <x:c r="C284" s="92" t="n">
        <x:f>SQRT('拟合与方案'!$B$8^2+('拟合与方案'!$C$8*(A284-'拟合与方案'!$D$8))^2)</x:f>
        <x:v>1227.128631539419</x:v>
      </x:c>
      <x:c r="D284" s="92" t="n">
        <x:f>MAX(B284,C284)/MIN(B284,C284)</x:f>
        <x:v>1.1092603345248517</x:v>
      </x:c>
      <x:c r="E284" s="92" t="n">
        <x:f>IF(A284&lt;'拟合与方案'!$C$13,"",SQRT('拟合与方案'!$F$13^2+('拟合与方案'!$G$13*(A284-'拟合与方案'!$H$13))^2))</x:f>
        <x:v>1544.8679731599038</x:v>
      </x:c>
      <x:c r="F284" s="92" t="n">
        <x:f>C284</x:f>
        <x:v>1227.128631539419</x:v>
      </x:c>
      <x:c r="G284" s="92" t="n">
        <x:f>IF(E284="","",MAX(E284,F284)/MIN(E284,F284))</x:f>
        <x:v>1.2589291240168394</x:v>
      </x:c>
      <x:c r="H284" s="92" t="n">
        <x:f>IF(A284&lt;'拟合与方案'!$C$15,"",SQRT('拟合与方案'!$F$15^2+('拟合与方案'!$G$15*(A284-'拟合与方案'!$H$15))^2))</x:f>
        <x:v>1821.414357480662</x:v>
      </x:c>
      <x:c r="I284" s="92" t="n">
        <x:f>C284</x:f>
        <x:v>1227.128631539419</x:v>
      </x:c>
      <x:c r="J284" s="92" t="n">
        <x:f>IF(H284="","",MAX(H284,I284)/MIN(H284,I284))</x:f>
        <x:v>1.4842896748287244</x:v>
      </x:c>
    </x:row>
    <x:row r="285" ht="15" hidden="0" customHeight="1">
      <x:c r="A285" s="92" t="n">
        <x:v>261.5</x:v>
      </x:c>
      <x:c r="B285" s="92" t="n">
        <x:f>SQRT('拟合与方案'!$B$7^2+('拟合与方案'!$C$7*(A285-'拟合与方案'!$D$7))^2)</x:f>
        <x:v>1376.184386627642</x:v>
      </x:c>
      <x:c r="C285" s="92" t="n">
        <x:f>SQRT('拟合与方案'!$B$8^2+('拟合与方案'!$C$8*(A285-'拟合与方案'!$D$8))^2)</x:f>
        <x:v>1246.8474198080164</x:v>
      </x:c>
      <x:c r="D285" s="92" t="n">
        <x:f>MAX(B285,C285)/MIN(B285,C285)</x:f>
        <x:v>1.1037311901720424</x:v>
      </x:c>
      <x:c r="E285" s="92" t="n">
        <x:f>IF(A285&lt;'拟合与方案'!$C$13,"",SQRT('拟合与方案'!$F$13^2+('拟合与方案'!$G$13*(A285-'拟合与方案'!$H$13))^2))</x:f>
        <x:v>1569.7743080760972</x:v>
      </x:c>
      <x:c r="F285" s="92" t="n">
        <x:f>C285</x:f>
        <x:v>1246.8474198080164</x:v>
      </x:c>
      <x:c r="G285" s="92" t="n">
        <x:f>IF(E285="","",MAX(E285,F285)/MIN(E285,F285))</x:f>
        <x:v>1.2589947118932994</x:v>
      </x:c>
      <x:c r="H285" s="92" t="n">
        <x:f>IF(A285&lt;'拟合与方案'!$C$15,"",SQRT('拟合与方案'!$F$15^2+('拟合与方案'!$G$15*(A285-'拟合与方案'!$H$15))^2))</x:f>
        <x:v>1854.202037089237</x:v>
      </x:c>
      <x:c r="I285" s="92" t="n">
        <x:f>C285</x:f>
        <x:v>1246.8474198080164</x:v>
      </x:c>
      <x:c r="J285" s="92" t="n">
        <x:f>IF(H285="","",MAX(H285,I285)/MIN(H285,I285))</x:f>
        <x:v>1.4871122220991067</x:v>
      </x:c>
    </x:row>
    <x:row r="286" ht="15" hidden="0" customHeight="1">
      <x:c r="A286" s="92" t="n">
        <x:v>262</x:v>
      </x:c>
      <x:c r="B286" s="92" t="n">
        <x:f>SQRT('拟合与方案'!$B$7^2+('拟合与方案'!$C$7*(A286-'拟合与方案'!$D$7))^2)</x:f>
        <x:v>1391.2823703815825</x:v>
      </x:c>
      <x:c r="C286" s="92" t="n">
        <x:f>SQRT('拟合与方案'!$B$8^2+('拟合与方案'!$C$8*(A286-'拟合与方案'!$D$8))^2)</x:f>
        <x:v>1266.6305859936203</x:v>
      </x:c>
      <x:c r="D286" s="92" t="n">
        <x:f>MAX(B286,C286)/MIN(B286,C286)</x:f>
        <x:v>1.098412106707638</x:v>
      </x:c>
      <x:c r="E286" s="92" t="n">
        <x:f>IF(A286&lt;'拟合与方案'!$C$13,"",SQRT('拟合与方案'!$F$13^2+('拟合与方案'!$G$13*(A286-'拟合与方案'!$H$13))^2))</x:f>
        <x:v>1594.760641120477</x:v>
      </x:c>
      <x:c r="F286" s="92" t="n">
        <x:f>C286</x:f>
        <x:v>1266.6305859936203</x:v>
      </x:c>
      <x:c r="G286" s="92" t="n">
        <x:f>IF(E286="","",MAX(E286,F286)/MIN(E286,F286))</x:f>
        <x:v>1.2590574227050202</x:v>
      </x:c>
      <x:c r="H286" s="92" t="n">
        <x:f>IF(A286&lt;'拟合与方案'!$C$15,"",SQRT('拟合与方案'!$F$15^2+('拟合与方案'!$G$15*(A286-'拟合与方案'!$H$15))^2))</x:f>
        <x:v>1887.0382622373115</x:v>
      </x:c>
      <x:c r="I286" s="92" t="n">
        <x:f>C286</x:f>
        <x:v>1266.6305859936203</x:v>
      </x:c>
      <x:c r="J286" s="92" t="n">
        <x:f>IF(H286="","",MAX(H286,I286)/MIN(H286,I286))</x:f>
        <x:v>1.489809485973376</x:v>
      </x:c>
    </x:row>
    <x:row r="287" ht="15" hidden="0" customHeight="1">
      <x:c r="A287" s="92" t="n">
        <x:v>262.5</x:v>
      </x:c>
      <x:c r="B287" s="92" t="n">
        <x:f>SQRT('拟合与方案'!$B$7^2+('拟合与方案'!$C$7*(A287-'拟合与方案'!$D$7))^2)</x:f>
        <x:v>1406.4952446147704</x:v>
      </x:c>
      <x:c r="C287" s="92" t="n">
        <x:f>SQRT('拟合与方案'!$B$8^2+('拟合与方案'!$C$8*(A287-'拟合与方案'!$D$8))^2)</x:f>
        <x:v>1286.4751601261917</x:v>
      </x:c>
      <x:c r="D287" s="92" t="n">
        <x:f>MAX(B287,C287)/MIN(B287,C287)</x:f>
        <x:v>1.0932937441845405</x:v>
      </x:c>
      <x:c r="E287" s="92" t="n">
        <x:f>IF(A287&lt;'拟合与方案'!$C$13,"",SQRT('拟合与方案'!$F$13^2+('拟合与方案'!$G$13*(A287-'拟合与方案'!$H$13))^2))</x:f>
        <x:v>1619.8232703010551</x:v>
      </x:c>
      <x:c r="F287" s="92" t="n">
        <x:f>C287</x:f>
        <x:v>1286.4751601261917</x:v>
      </x:c>
      <x:c r="G287" s="92" t="n">
        <x:f>IF(E287="","",MAX(E287,F287)/MIN(E287,F287))</x:f>
        <x:v>1.2591174089534423</x:v>
      </x:c>
      <x:c r="H287" s="92" t="n">
        <x:f>IF(A287&lt;'拟合与方案'!$C$15,"",SQRT('拟合与方案'!$F$15^2+('拟合与方案'!$G$15*(A287-'拟合与方案'!$H$15))^2))</x:f>
        <x:v>1919.9205421167567</x:v>
      </x:c>
      <x:c r="I287" s="92" t="n">
        <x:f>C287</x:f>
        <x:v>1286.4751601261917</x:v>
      </x:c>
      <x:c r="J287" s="92" t="n">
        <x:f>IF(H287="","",MAX(H287,I287)/MIN(H287,I287))</x:f>
        <x:v>1.4923883504508784</x:v>
      </x:c>
    </x:row>
    <x:row r="288" ht="15" hidden="0" customHeight="1">
      <x:c r="A288" s="92" t="n">
        <x:v>263</x:v>
      </x:c>
      <x:c r="B288" s="92" t="n">
        <x:f>SQRT('拟合与方案'!$B$7^2+('拟合与方案'!$C$7*(A288-'拟合与方案'!$D$7))^2)</x:f>
        <x:v>1421.8193214912383</x:v>
      </x:c>
      <x:c r="C288" s="92" t="n">
        <x:f>SQRT('拟合与方案'!$B$8^2+('拟合与方案'!$C$8*(A288-'拟合与方案'!$D$8))^2)</x:f>
        <x:v>1306.3783437516918</x:v>
      </x:c>
      <x:c r="D288" s="92" t="n">
        <x:f>MAX(B288,C288)/MIN(B288,C288)</x:f>
        <x:v>1.0883671857327488</x:v>
      </x:c>
      <x:c r="E288" s="92" t="n">
        <x:f>IF(A288&lt;'拟合与方案'!$C$13,"",SQRT('拟合与方案'!$F$13^2+('拟合与方案'!$G$13*(A288-'拟合与方案'!$H$13))^2))</x:f>
        <x:v>1644.958708272405</x:v>
      </x:c>
      <x:c r="F288" s="92" t="n">
        <x:f>C288</x:f>
        <x:v>1306.3783437516918</x:v>
      </x:c>
      <x:c r="G288" s="92" t="n">
        <x:f>IF(E288="","",MAX(E288,F288)/MIN(E288,F288))</x:f>
        <x:v>1.2591748142030348</x:v>
      </x:c>
      <x:c r="H288" s="92" t="n">
        <x:f>IF(A288&lt;'拟合与方案'!$C$15,"",SQRT('拟合与方案'!$F$15^2+('拟合与方案'!$G$15*(A288-'拟合与方案'!$H$15))^2))</x:f>
        <x:v>1952.846550302594</x:v>
      </x:c>
      <x:c r="I288" s="92" t="n">
        <x:f>C288</x:f>
        <x:v>1306.3783437516918</x:v>
      </x:c>
      <x:c r="J288" s="92" t="n">
        <x:f>IF(H288="","",MAX(H288,I288)/MIN(H288,I288))</x:f>
        <x:v>1.4948552688759045</x:v>
      </x:c>
    </x:row>
    <x:row r="289" ht="15" hidden="0" customHeight="1">
      <x:c r="A289" s="92" t="n">
        <x:v>263.5</x:v>
      </x:c>
      <x:c r="B289" s="92" t="n">
        <x:f>SQRT('拟合与方案'!$B$7^2+('拟合与方案'!$C$7*(A289-'拟合与方案'!$D$7))^2)</x:f>
        <x:v>1437.2510440629778</x:v>
      </x:c>
      <x:c r="C289" s="92" t="n">
        <x:f>SQRT('拟合与方案'!$B$8^2+('拟合与方案'!$C$8*(A289-'拟合与方案'!$D$8))^2)</x:f>
        <x:v>1326.3374983689669</x:v>
      </x:c>
      <x:c r="D289" s="92" t="n">
        <x:f>MAX(B289,C289)/MIN(B289,C289)</x:f>
        <x:v>1.0836239236471896</x:v>
      </x:c>
      <x:c r="E289" s="92" t="n">
        <x:f>IF(A289&lt;'拟合与方案'!$C$13,"",SQRT('拟合与方案'!$F$13^2+('拟合与方案'!$G$13*(A289-'拟合与方案'!$H$13))^2))</x:f>
        <x:v>1670.163667789549</x:v>
      </x:c>
      <x:c r="F289" s="92" t="n">
        <x:f>C289</x:f>
        <x:v>1326.3374983689669</x:v>
      </x:c>
      <x:c r="G289" s="92" t="n">
        <x:f>IF(E289="","",MAX(E289,F289)/MIN(E289,F289))</x:f>
        <x:v>1.2592297736009082</x:v>
      </x:c>
      <x:c r="H289" s="92" t="n">
        <x:f>IF(A289&lt;'拟合与方案'!$C$15,"",SQRT('拟合与方案'!$F$15^2+('拟合与方案'!$G$15*(A289-'拟合与方案'!$H$15))^2))</x:f>
        <x:v>1985.8141116701072</x:v>
      </x:c>
      <x:c r="I289" s="92" t="n">
        <x:f>C289</x:f>
        <x:v>1326.3374983689669</x:v>
      </x:c>
      <x:c r="J289" s="92" t="n">
        <x:f>IF(H289="","",MAX(H289,I289)/MIN(H289,I289))</x:f>
        <x:v>1.4972162923178427</x:v>
      </x:c>
    </x:row>
    <x:row r="290" ht="15" hidden="0" customHeight="1">
      <x:c r="A290" s="92" t="n">
        <x:v>264</x:v>
      </x:c>
      <x:c r="B290" s="92" t="n">
        <x:f>SQRT('拟合与方案'!$B$7^2+('拟合与方案'!$C$7*(A290-'拟合与方案'!$D$7))^2)</x:f>
        <x:v>1452.7869820475773</x:v>
      </x:c>
      <x:c r="C290" s="92" t="n">
        <x:f>SQRT('拟合与方案'!$B$8^2+('拟合与方案'!$C$8*(A290-'拟合与方案'!$D$8))^2)</x:f>
        <x:v>1346.3501347310882</x:v>
      </x:c>
      <x:c r="D290" s="92" t="n">
        <x:f>MAX(B290,C290)/MIN(B290,C290)</x:f>
        <x:v>1.079055844813911</x:v>
      </x:c>
      <x:c r="E290" s="92" t="n">
        <x:f>IF(A290&lt;'拟合与方案'!$C$13,"",SQRT('拟合与方案'!$F$13^2+('拟合与方案'!$G$13*(A290-'拟合与方案'!$H$13))^2))</x:f>
        <x:v>1695.4350482568962</x:v>
      </x:c>
      <x:c r="F290" s="92" t="n">
        <x:f>C290</x:f>
        <x:v>1346.3501347310882</x:v>
      </x:c>
      <x:c r="G290" s="92" t="n">
        <x:f>IF(E290="","",MAX(E290,F290)/MIN(E290,F290))</x:f>
        <x:v>1.2592824143739785</x:v>
      </x:c>
      <x:c r="H290" s="92" t="n">
        <x:f>IF(A290&lt;'拟合与方案'!$C$15,"",SQRT('拟合与方案'!$F$15^2+('拟合与方案'!$G$15*(A290-'拟合与方案'!$H$15))^2))</x:f>
        <x:v>2018.8211905169026</x:v>
      </x:c>
      <x:c r="I290" s="92" t="n">
        <x:f>C290</x:f>
        <x:v>1346.3501347310882</x:v>
      </x:c>
      <x:c r="J290" s="92" t="n">
        <x:f>IF(H290="","",MAX(H290,I290)/MIN(H290,I290))</x:f>
        <x:v>1.4994770962162303</x:v>
      </x:c>
    </x:row>
    <x:row r="291" ht="15" hidden="0" customHeight="1">
      <x:c r="A291" s="92" t="n">
        <x:v>264.5</x:v>
      </x:c>
      <x:c r="B291" s="92" t="n">
        <x:f>SQRT('拟合与方案'!$B$7^2+('拟合与方案'!$C$7*(A291-'拟合与方案'!$D$7))^2)</x:f>
        <x:v>1468.423827648601</x:v>
      </x:c>
      <x:c r="C291" s="92" t="n">
        <x:f>SQRT('拟合与方案'!$B$8^2+('拟合与方案'!$C$8*(A291-'拟合与方案'!$D$8))^2)</x:f>
        <x:v>1366.4139029429273</x:v>
      </x:c>
      <x:c r="D291" s="92" t="n">
        <x:f>MAX(B291,C291)/MIN(B291,C291)</x:f>
        <x:v>1.074655215733658</x:v>
      </x:c>
      <x:c r="E291" s="92" t="n">
        <x:f>IF(A291&lt;'拟合与方案'!$C$13,"",SQRT('拟合与方案'!$F$13^2+('拟合与方案'!$G$13*(A291-'拟合与方案'!$H$13))^2))</x:f>
        <x:v>1720.76992328495</x:v>
      </x:c>
      <x:c r="F291" s="92" t="n">
        <x:f>C291</x:f>
        <x:v>1366.4139029429273</x:v>
      </x:c>
      <x:c r="G291" s="92" t="n">
        <x:f>IF(E291="","",MAX(E291,F291)/MIN(E291,F291))</x:f>
        <x:v>1.2593328563027828</x:v>
      </x:c>
      <x:c r="H291" s="92" t="n">
        <x:f>IF(A291&lt;'拟合与方案'!$C$15,"",SQRT('拟合与方案'!$F$15^2+('拟合与方案'!$G$15*(A291-'拟合与方案'!$H$15))^2))</x:f>
        <x:v>2051.8658797651915</x:v>
      </x:c>
      <x:c r="I291" s="92" t="n">
        <x:f>C291</x:f>
        <x:v>1366.4139029429273</x:v>
      </x:c>
      <x:c r="J291" s="92" t="n">
        <x:f>IF(H291="","",MAX(H291,I291)/MIN(H291,I291))</x:f>
        <x:v>1.5016430053485004</x:v>
      </x:c>
    </x:row>
    <x:row r="292" ht="15" hidden="0" customHeight="1">
      <x:c r="A292" s="92" t="n">
        <x:v>265</x:v>
      </x:c>
      <x:c r="B292" s="92" t="n">
        <x:f>SQRT('拟合与方案'!$B$7^2+('拟合与方案'!$C$7*(A292-'拟合与方案'!$D$7))^2)</x:f>
        <x:v>1484.15839143196</x:v>
      </x:c>
      <x:c r="C292" s="92" t="n">
        <x:f>SQRT('拟合与方案'!$B$8^2+('拟合与方案'!$C$8*(A292-'拟合与方案'!$D$8))^2)</x:f>
        <x:v>1386.5265832920627</x:v>
      </x:c>
      <x:c r="D292" s="92" t="n">
        <x:f>MAX(B292,C292)/MIN(B292,C292)</x:f>
        <x:v>1.0704146673539339</x:v>
      </x:c>
      <x:c r="E292" s="92" t="n">
        <x:f>IF(A292&lt;'拟合与方案'!$C$13,"",SQRT('拟合与方案'!$F$13^2+('拟合与方案'!$G$13*(A292-'拟合与方案'!$H$13))^2))</x:f>
        <x:v>1746.165529174404</x:v>
      </x:c>
      <x:c r="F292" s="92" t="n">
        <x:f>C292</x:f>
        <x:v>1386.5265832920627</x:v>
      </x:c>
      <x:c r="G292" s="92" t="n">
        <x:f>IF(E292="","",MAX(E292,F292)/MIN(E292,F292))</x:f>
        <x:v>1.259381212171527</x:v>
      </x:c>
      <x:c r="H292" s="92" t="n">
        <x:f>IF(A292&lt;'拟合与方案'!$C$15,"",SQRT('拟合与方案'!$F$15^2+('拟合与方案'!$G$15*(A292-'拟合与方案'!$H$15))^2))</x:f>
        <x:v>2084.946391133747</x:v>
      </x:c>
      <x:c r="I292" s="92" t="n">
        <x:f>C292</x:f>
        <x:v>1386.5265832920627</x:v>
      </x:c>
      <x:c r="J292" s="92" t="n">
        <x:f>IF(H292="","",MAX(H292,I292)/MIN(H292,I292))</x:f>
        <x:v>1.503719017188556</x:v>
      </x:c>
    </x:row>
    <x:row r="293" ht="15" hidden="0" customHeight="1">
      <x:c r="A293" s="92" t="n">
        <x:v>265.5</x:v>
      </x:c>
      <x:c r="B293" s="92" t="n">
        <x:f>SQRT('拟合与方案'!$B$7^2+('拟合与方案'!$C$7*(A293-'拟合与方案'!$D$7))^2)</x:f>
        <x:v>1499.9875982694357</x:v>
      </x:c>
      <x:c r="C293" s="92" t="n">
        <x:f>SQRT('拟合与方案'!$B$8^2+('拟合与方案'!$C$8*(A293-'拟合与方案'!$D$8))^2)</x:f>
        <x:v>1406.6860777550664</x:v>
      </x:c>
      <x:c r="D293" s="92" t="n">
        <x:f>MAX(B293,C293)/MIN(B293,C293)</x:f>
        <x:v>1.0663271798802967</x:v>
      </x:c>
      <x:c r="E293" s="92" t="n">
        <x:f>IF(A293&lt;'拟合与方案'!$C$13,"",SQRT('拟合与方案'!$F$13^2+('拟合与方案'!$G$13*(A293-'拟合与方案'!$H$13))^2))</x:f>
        <x:v>1771.6192542536799</x:v>
      </x:c>
      <x:c r="F293" s="92" t="n">
        <x:f>C293</x:f>
        <x:v>1406.6860777550664</x:v>
      </x:c>
      <x:c r="G293" s="92" t="n">
        <x:f>IF(E293="","",MAX(E293,F293)/MIN(E293,F293))</x:f>
        <x:v>1.259427588194383</x:v>
      </x:c>
      <x:c r="H293" s="92" t="n">
        <x:f>IF(A293&lt;'拟合与方案'!$C$15,"",SQRT('拟合与方案'!$F$15^2+('拟合与方案'!$G$15*(A293-'拟合与方案'!$H$15))^2))</x:f>
        <x:v>2118.061046181446</x:v>
      </x:c>
      <x:c r="I293" s="92" t="n">
        <x:f>C293</x:f>
        <x:v>1406.6860777550664</x:v>
      </x:c>
      <x:c r="J293" s="92" t="n">
        <x:f>IF(H293="","",MAX(H293,I293)/MIN(H293,I293))</x:f>
        <x:v>1.5057098237310091</x:v>
      </x:c>
    </x:row>
    <x:row r="294" ht="15" hidden="0" customHeight="1">
      <x:c r="A294" s="92" t="n">
        <x:v>266</x:v>
      </x:c>
      <x:c r="B294" s="92" t="n">
        <x:f>SQRT('拟合与方案'!$B$7^2+('拟合与方案'!$C$7*(A294-'拟合与方案'!$D$7))^2)</x:f>
        <x:v>1515.9084833586721</x:v>
      </x:c>
      <x:c r="C294" s="92" t="n">
        <x:f>SQRT('拟合与方案'!$B$8^2+('拟合与方案'!$C$8*(A294-'拟合与方案'!$D$8))^2)</x:f>
        <x:v>1426.890402125839</x:v>
      </x:c>
      <x:c r="D294" s="92" t="n">
        <x:f>MAX(B294,C294)/MIN(B294,C294)</x:f>
        <x:v>1.0623860677037356</x:v>
      </x:c>
      <x:c r="E294" s="92" t="n">
        <x:f>IF(A294&lt;'拟合与方案'!$C$13,"",SQRT('拟合与方案'!$F$13^2+('拟合与方案'!$G$13*(A294-'拟合与方案'!$H$13))^2))</x:f>
        <x:v>1797.1286290019443</x:v>
      </x:c>
      <x:c r="F294" s="92" t="n">
        <x:f>C294</x:f>
        <x:v>1426.890402125839</x:v>
      </x:c>
      <x:c r="G294" s="92" t="n">
        <x:f>IF(E294="","",MAX(E294,F294)/MIN(E294,F294))</x:f>
        <x:v>1.2594720844183334</x:v>
      </x:c>
      <x:c r="H294" s="92" t="n">
        <x:f>IF(A294&lt;'拟合与方案'!$C$15,"",SQRT('拟合与方案'!$F$15^2+('拟合与方案'!$G$15*(A294-'拟合与方案'!$H$15))^2))</x:f>
        <x:v>2151.2082681352354</x:v>
      </x:c>
      <x:c r="I294" s="92" t="n">
        <x:f>C294</x:f>
        <x:v>1426.890402125839</x:v>
      </x:c>
      <x:c r="J294" s="92" t="n">
        <x:f>IF(H294="","",MAX(H294,I294)/MIN(H294,I294))</x:f>
        <x:v>1.5076198318597407</x:v>
      </x:c>
    </x:row>
    <x:row r="295" ht="15" hidden="0" customHeight="1">
      <x:c r="A295" s="92" t="n">
        <x:v>266.5</x:v>
      </x:c>
      <x:c r="B295" s="92" t="n">
        <x:f>SQRT('拟合与方案'!$B$7^2+('拟合与方案'!$C$7*(A295-'拟合与方案'!$D$7))^2)</x:f>
        <x:v>1531.9181883272825</x:v>
      </x:c>
      <x:c r="C295" s="92" t="n">
        <x:f>SQRT('拟合与方案'!$B$8^2+('拟合与方案'!$C$8*(A295-'拟合与方案'!$D$8))^2)</x:f>
        <x:v>1447.1376787169488</x:v>
      </x:c>
      <x:c r="D295" s="92" t="n">
        <x:f>MAX(B295,C295)/MIN(B295,C295)</x:f>
        <x:v>1.0585849645525789</x:v>
      </x:c>
      <x:c r="E295" s="92" t="n">
        <x:f>IF(A295&lt;'拟合与方案'!$C$13,"",SQRT('拟合与方案'!$F$13^2+('拟合与方案'!$G$13*(A295-'拟合与方案'!$H$13))^2))</x:f>
        <x:v>1822.691316895172</x:v>
      </x:c>
      <x:c r="F295" s="92" t="n">
        <x:f>C295</x:f>
        <x:v>1447.1376787169488</x:v>
      </x:c>
      <x:c r="G295" s="92" t="n">
        <x:f>IF(E295="","",MAX(E295,F295)/MIN(E295,F295))</x:f>
        <x:v>1.2595147951031127</x:v>
      </x:c>
      <x:c r="H295" s="92" t="n">
        <x:f>IF(A295&lt;'拟合与方案'!$C$15,"",SQRT('拟合与方案'!$F$15^2+('拟合与方案'!$G$15*(A295-'拟合与方案'!$H$15))^2))</x:f>
        <x:v>2184.3865744249824</x:v>
      </x:c>
      <x:c r="I295" s="92" t="n">
        <x:f>C295</x:f>
        <x:v>1447.1376787169488</x:v>
      </x:c>
      <x:c r="J295" s="92" t="n">
        <x:f>IF(H295="","",MAX(H295,I295)/MIN(H295,I295))</x:f>
        <x:v>1.5094531823410804</x:v>
      </x:c>
    </x:row>
    <x:row r="296" ht="15" hidden="0" customHeight="1">
      <x:c r="A296" s="92" t="n">
        <x:v>267</x:v>
      </x:c>
      <x:c r="B296" s="92" t="n">
        <x:f>SQRT('拟合与方案'!$B$7^2+('拟合与方案'!$C$7*(A296-'拟合与方案'!$D$7))^2)</x:f>
        <x:v>1548.013957427248</x:v>
      </x:c>
      <x:c r="C296" s="92" t="n">
        <x:f>SQRT('拟合与方案'!$B$8^2+('拟合与方案'!$C$8*(A296-'拟合与方案'!$D$8))^2)</x:f>
        <x:v>1467.4261295888978</x:v>
      </x:c>
      <x:c r="D296" s="92" t="n">
        <x:f>MAX(B296,C296)/MIN(B296,C296)</x:f>
        <x:v>1.0549178089536453</x:v>
      </x:c>
      <x:c r="E296" s="92" t="n">
        <x:f>IF(A296&lt;'拟合与方案'!$C$13,"",SQRT('拟合与方案'!$F$13^2+('拟合与方案'!$G$13*(A296-'拟合与方案'!$H$13))^2))</x:f>
        <x:v>1848.305105917935</x:v>
      </x:c>
      <x:c r="F296" s="92" t="n">
        <x:f>C296</x:f>
        <x:v>1467.4261295888978</x:v>
      </x:c>
      <x:c r="G296" s="92" t="n">
        <x:f>IF(E296="","",MAX(E296,F296)/MIN(E296,F296))</x:f>
        <x:v>1.2595558090789492</x:v>
      </x:c>
      <x:c r="H296" s="92" t="n">
        <x:f>IF(A296&lt;'拟合与方案'!$C$15,"",SQRT('拟合与方案'!$F$15^2+('拟合与方案'!$G$15*(A296-'拟合与方案'!$H$15))^2))</x:f>
        <x:v>2217.594569856125</x:v>
      </x:c>
      <x:c r="I296" s="92" t="n">
        <x:f>C296</x:f>
        <x:v>1467.4261295888978</x:v>
      </x:c>
      <x:c r="J296" s="92" t="n">
        <x:f>IF(H296="","",MAX(H296,I296)/MIN(H296,I296))</x:f>
        <x:v>1.5112137675219046</x:v>
      </x:c>
    </x:row>
    <x:row r="297" ht="15" hidden="0" customHeight="1">
      <x:c r="A297" s="92" t="n">
        <x:v>267.5</x:v>
      </x:c>
      <x:c r="B297" s="92" t="n">
        <x:f>SQRT('拟合与方案'!$B$7^2+('拟合与方案'!$C$7*(A297-'拟合与方案'!$D$7))^2)</x:f>
        <x:v>1564.1931338244865</x:v>
      </x:c>
      <x:c r="C297" s="92" t="n">
        <x:f>SQRT('拟合与方案'!$B$8^2+('拟合与方案'!$C$8*(A297-'拟合与方案'!$D$8))^2)</x:f>
        <x:v>1487.7540702659023</x:v>
      </x:c>
      <x:c r="D297" s="92" t="n">
        <x:f>MAX(B297,C297)/MIN(B297,C297)</x:f>
        <x:v>1.0513788300676081</x:v>
      </x:c>
      <x:c r="E297" s="92" t="n">
        <x:f>IF(A297&lt;'拟合与方案'!$C$13,"",SQRT('拟合与方案'!$F$13^2+('拟合与方案'!$G$13*(A297-'拟合与方案'!$H$13))^2))</x:f>
        <x:v>1873.967900688314</x:v>
      </x:c>
      <x:c r="F297" s="92" t="n">
        <x:f>C297</x:f>
        <x:v>1487.7540702659023</x:v>
      </x:c>
      <x:c r="G297" s="92" t="n">
        <x:f>IF(E297="","",MAX(E297,F297)/MIN(E297,F297))</x:f>
        <x:v>1.2595952100829304</x:v>
      </x:c>
      <x:c r="H297" s="92" t="n">
        <x:f>IF(A297&lt;'拟合与方案'!$C$15,"",SQRT('拟合与方案'!$F$15^2+('拟合与方案'!$G$15*(A297-'拟合与方案'!$H$15))^2))</x:f>
        <x:v>2250.830940358513</x:v>
      </x:c>
      <x:c r="I297" s="92" t="n">
        <x:f>C297</x:f>
        <x:v>1487.7540702659023</x:v>
      </x:c>
      <x:c r="J297" s="92" t="n">
        <x:f>IF(H297="","",MAX(H297,I297)/MIN(H297,I297))</x:f>
        <x:v>1.5129052478117087</x:v>
      </x:c>
    </x:row>
    <x:row r="298" ht="15" hidden="0" customHeight="1">
      <x:c r="A298" s="92" t="n">
        <x:v>268</x:v>
      </x:c>
      <x:c r="B298" s="92" t="n">
        <x:f>SQRT('拟合与方案'!$B$7^2+('拟合与方案'!$C$7*(A298-'拟合与方案'!$D$7))^2)</x:f>
        <x:v>1580.4531559873074</x:v>
      </x:c>
      <x:c r="C298" s="92" t="n">
        <x:f>SQRT('拟合与方案'!$B$8^2+('拟合与方案'!$C$8*(A298-'拟合与方案'!$D$8))^2)</x:f>
        <x:v>1508.119903900151</x:v>
      </x:c>
      <x:c r="D298" s="92" t="n">
        <x:f>MAX(B298,C298)/MIN(B298,C298)</x:f>
        <x:v>1.047962533947132</x:v>
      </x:c>
      <x:c r="E298" s="92" t="n">
        <x:f>IF(A298&lt;'拟合与方案'!$C$13,"",SQRT('拟合与方案'!$F$13^2+('拟合与方案'!$G$13*(A298-'拟合与方案'!$H$13))^2))</x:f>
        <x:v>1899.6777151476585</x:v>
      </x:c>
      <x:c r="F298" s="92" t="n">
        <x:f>C298</x:f>
        <x:v>1508.119903900151</x:v>
      </x:c>
      <x:c r="G298" s="92" t="n">
        <x:f>IF(E298="","",MAX(E298,F298)/MIN(E298,F298))</x:f>
        <x:v>1.2596330770749058</x:v>
      </x:c>
      <x:c r="H298" s="92" t="n">
        <x:f>IF(A298&lt;'拟合与方案'!$C$15,"",SQRT('拟合与方案'!$F$15^2+('拟合与方案'!$G$15*(A298-'拟合与方案'!$H$15))^2))</x:f>
        <x:v>2284.0944472564083</x:v>
      </x:c>
      <x:c r="I298" s="92" t="n">
        <x:f>C298</x:f>
        <x:v>1508.119903900151</x:v>
      </x:c>
      <x:c r="J298" s="92" t="n">
        <x:f>IF(H298="","",MAX(H298,I298)/MIN(H298,I298))</x:f>
        <x:v>1.5145310670255783</x:v>
      </x:c>
    </x:row>
    <x:row r="299" ht="15" hidden="0" customHeight="1">
      <x:c r="A299" s="92" t="n">
        <x:v>268.5</x:v>
      </x:c>
      <x:c r="B299" s="92" t="n">
        <x:f>SQRT('拟合与方案'!$B$7^2+('拟合与方案'!$C$7*(A299-'拟合与方案'!$D$7))^2)</x:f>
        <x:v>1596.7915541764637</x:v>
      </x:c>
      <x:c r="C299" s="92" t="n">
        <x:f>SQRT('拟合与方案'!$B$8^2+('拟合与方案'!$C$8*(A299-'拟合与方案'!$D$8))^2)</x:f>
        <x:v>1528.5221158496124</x:v>
      </x:c>
      <x:c r="D299" s="92" t="n">
        <x:f>MAX(B299,C299)/MIN(B299,C299)</x:f>
        <x:v>1.0446636902527933</x:v>
      </x:c>
      <x:c r="E299" s="92" t="n">
        <x:f>IF(A299&lt;'拟合与方案'!$C$13,"",SQRT('拟合与方案'!$F$13^2+('拟合与方案'!$G$13*(A299-'拟合与方案'!$H$13))^2))</x:f>
        <x:v>1925.432665770916</x:v>
      </x:c>
      <x:c r="F299" s="92" t="n">
        <x:f>C299</x:f>
        <x:v>1528.5221158496124</x:v>
      </x:c>
      <x:c r="G299" s="92" t="n">
        <x:f>IF(E299="","",MAX(E299,F299)/MIN(E299,F299))</x:f>
        <x:v>1.2596694845338794</x:v>
      </x:c>
      <x:c r="H299" s="92" t="n">
        <x:f>IF(A299&lt;'拟合与方案'!$C$15,"",SQRT('拟合与方案'!$F$15^2+('拟合与方案'!$G$15*(A299-'拟合与方案'!$H$15))^2))</x:f>
        <x:v>2317.383922010438</x:v>
      </x:c>
      <x:c r="I299" s="92" t="n">
        <x:f>C299</x:f>
        <x:v>1528.5221158496124</x:v>
      </x:c>
      <x:c r="J299" s="92" t="n">
        <x:f>IF(H299="","",MAX(H299,I299)/MIN(H299,I299))</x:f>
        <x:v>1.5160944666622276</x:v>
      </x:c>
    </x:row>
    <x:row r="300" ht="15" hidden="0" customHeight="1">
      <x:c r="A300" s="92" t="n">
        <x:v>269</x:v>
      </x:c>
      <x:c r="B300" s="92" t="n">
        <x:f>SQRT('拟合与方案'!$B$7^2+('拟合与方案'!$C$7*(A300-'拟合与方案'!$D$7))^2)</x:f>
        <x:v>1613.2059470386303</x:v>
      </x:c>
      <x:c r="C300" s="92" t="n">
        <x:f>SQRT('拟合与方案'!$B$8^2+('拟合与方案'!$C$8*(A300-'拟合与方案'!$D$8))^2)</x:f>
        <x:v>1548.9592686373278</x:v>
      </x:c>
      <x:c r="D300" s="92" t="n">
        <x:f>MAX(B300,C300)/MIN(B300,C300)</x:f>
        <x:v>1.0414773194506415</x:v>
      </x:c>
      <x:c r="E300" s="92" t="n">
        <x:f>IF(A300&lt;'拟合与方案'!$C$13,"",SQRT('拟合与方案'!$F$13^2+('拟合与方案'!$G$13*(A300-'拟合与方案'!$H$13))^2))</x:f>
        <x:v>1951.2309652568986</x:v>
      </x:c>
      <x:c r="F300" s="92" t="n">
        <x:f>C300</x:f>
        <x:v>1548.9592686373278</x:v>
      </x:c>
      <x:c r="G300" s="92" t="n">
        <x:f>IF(E300="","",MAX(E300,F300)/MIN(E300,F300))</x:f>
        <x:v>1.2597045027358678</x:v>
      </x:c>
      <x:c r="H300" s="92" t="n">
        <x:f>IF(A300&lt;'拟合与方案'!$C$15,"",SQRT('拟合与方案'!$F$15^2+('拟合与方案'!$G$15*(A300-'拟合与方案'!$H$15))^2))</x:f>
        <x:v>2350.6982613874443</x:v>
      </x:c>
      <x:c r="I300" s="92" t="n">
        <x:f>C300</x:f>
        <x:v>1548.9592686373278</x:v>
      </x:c>
      <x:c r="J300" s="92" t="n">
        <x:f>IF(H300="","",MAX(H300,I300)/MIN(H300,I300))</x:f>
        <x:v>1.5175984991880604</x:v>
      </x:c>
    </x:row>
    <x:row r="301" ht="15" hidden="0" customHeight="1">
      <x:c r="A301" s="92" t="n">
        <x:v>269.5</x:v>
      </x:c>
      <x:c r="B301" s="92" t="n">
        <x:f>SQRT('拟合与方案'!$B$7^2+('拟合与方案'!$C$7*(A301-'拟合与方案'!$D$7))^2)</x:f>
        <x:v>1629.6940383043668</x:v>
      </x:c>
      <x:c r="C301" s="92" t="n">
        <x:f>SQRT('拟合与方案'!$B$8^2+('拟合与方案'!$C$8*(A301-'拟合与方案'!$D$8))^2)</x:f>
        <x:v>1569.4299972627414</x:v>
      </x:c>
      <x:c r="D301" s="92" t="n">
        <x:f>MAX(B301,C301)/MIN(B301,C301)</x:f>
        <x:v>1.038398680506128</x:v>
      </x:c>
      <x:c r="E301" s="92" t="n">
        <x:f>IF(A301&lt;'拟合与方案'!$C$13,"",SQRT('拟合与方案'!$F$13^2+('拟合与方案'!$G$13*(A301-'拟合与方案'!$H$13))^2))</x:f>
        <x:v>1977.0709166612219</x:v>
      </x:c>
      <x:c r="F301" s="92" t="n">
        <x:f>C301</x:f>
        <x:v>1569.4299972627414</x:v>
      </x:c>
      <x:c r="G301" s="92" t="n">
        <x:f>IF(E301="","",MAX(E301,F301)/MIN(E301,F301))</x:f>
        <x:v>1.2597381980142162</x:v>
      </x:c>
      <x:c r="H301" s="92" t="n">
        <x:f>IF(A301&lt;'拟合与方案'!$C$15,"",SQRT('拟合与方案'!$F$15^2+('拟合与方案'!$G$15*(A301-'拟合与方案'!$H$15))^2))</x:f>
        <x:v>2384.0364230187383</x:v>
      </x:c>
      <x:c r="I301" s="92" t="n">
        <x:f>C301</x:f>
        <x:v>1569.4299972627414</x:v>
      </x:c>
      <x:c r="J301" s="92" t="n">
        <x:f>IF(H301="","",MAX(H301,I301)/MIN(H301,I301))</x:f>
        <x:v>1.5190460403947676</x:v>
      </x:c>
    </x:row>
    <x:row r="302" ht="15" hidden="0" customHeight="1">
      <x:c r="A302" s="92" t="n">
        <x:v>270</x:v>
      </x:c>
      <x:c r="B302" s="92" t="n">
        <x:f>SQRT('拟合与方案'!$B$7^2+('拟合与方案'!$C$7*(A302-'拟合与方案'!$D$7))^2)</x:f>
        <x:v>1646.2536135909497</x:v>
      </x:c>
      <x:c r="C302" s="92" t="n">
        <x:f>SQRT('拟合与方案'!$B$8^2+('拟合与方案'!$C$8*(A302-'拟合与方案'!$D$8))^2)</x:f>
        <x:v>1589.9330048380357</x:v>
      </x:c>
      <x:c r="D302" s="92" t="n">
        <x:f>MAX(B302,C302)/MIN(B302,C302)</x:f>
        <x:v>1.035423259081694</x:v>
      </x:c>
      <x:c r="E302" s="92" t="n">
        <x:f>IF(A302&lt;'拟合与方案'!$C$13,"",SQRT('拟合与方案'!$F$13^2+('拟合与方案'!$G$13*(A302-'拟合与方案'!$H$13))^2))</x:f>
        <x:v>2002.9509079377174</x:v>
      </x:c>
      <x:c r="F302" s="92" t="n">
        <x:f>C302</x:f>
        <x:v>1589.9330048380357</x:v>
      </x:c>
      <x:c r="G302" s="92" t="n">
        <x:f>IF(E302="","",MAX(E302,F302)/MIN(E302,F302))</x:f>
        <x:v>1.2597706330033418</x:v>
      </x:c>
      <x:c r="H302" s="92" t="n">
        <x:f>IF(A302&lt;'拟合与方案'!$C$15,"",SQRT('拟合与方案'!$F$15^2+('拟合与方案'!$G$15*(A302-'拟合与方案'!$H$15))^2))</x:f>
        <x:v>2417.397421311308</x:v>
      </x:c>
      <x:c r="I302" s="92" t="n">
        <x:f>C302</x:f>
        <x:v>1589.9330048380357</x:v>
      </x:c>
      <x:c r="J302" s="92" t="n">
        <x:f>IF(H302="","",MAX(H302,I302)/MIN(H302,I302))</x:f>
        <x:v>1.5204398008943558</x:v>
      </x:c>
    </x:row>
    <x:row r="303" ht="15" hidden="0" customHeight="1">
      <x:c r="A303" s="92" t="n">
        <x:v>270.5</x:v>
      </x:c>
      <x:c r="B303" s="92" t="n">
        <x:f>SQRT('拟合与方案'!$B$7^2+('拟合与方案'!$C$7*(A303-'拟合与方案'!$D$7))^2)</x:f>
        <x:v>1662.8825373098957</x:v>
      </x:c>
      <x:c r="C303" s="92" t="n">
        <x:f>SQRT('拟合与方案'!$B$8^2+('拟合与方案'!$C$8*(A303-'拟合与方案'!$D$8))^2)</x:f>
        <x:v>1610.467058524643</x:v>
      </x:c>
      <x:c r="D303" s="92" t="n">
        <x:f>MAX(B303,C303)/MIN(B303,C303)</x:f>
        <x:v>1.0325467562393178</x:v>
      </x:c>
      <x:c r="E303" s="92" t="n">
        <x:f>IF(A303&lt;'拟合与方案'!$C$13,"",SQRT('拟合与方案'!$F$13^2+('拟合与方案'!$G$13*(A303-'拟合与方案'!$H$13))^2))</x:f>
        <x:v>2028.8694068569355</x:v>
      </x:c>
      <x:c r="F303" s="92" t="n">
        <x:f>C303</x:f>
        <x:v>1610.467058524643</x:v>
      </x:c>
      <x:c r="G303" s="92" t="n">
        <x:f>IF(E303="","",MAX(E303,F303)/MIN(E303,F303))</x:f>
        <x:v>1.2598018668668658</x:v>
      </x:c>
      <x:c r="H303" s="92" t="n">
        <x:f>IF(A303&lt;'拟合与方案'!$C$15,"",SQRT('拟合与方案'!$F$15^2+('拟合与方案'!$G$15*(A303-'拟合与方案'!$H$15))^2))</x:f>
        <x:v>2450.7803236801315</x:v>
      </x:c>
      <x:c r="I303" s="92" t="n">
        <x:f>C303</x:f>
        <x:v>1610.467058524643</x:v>
      </x:c>
      <x:c r="J303" s="92" t="n">
        <x:f>IF(H303="","",MAX(H303,I303)/MIN(H303,I303))</x:f>
        <x:v>1.5217823368118462</x:v>
      </x:c>
    </x:row>
    <x:row r="304" ht="15" hidden="0" customHeight="1">
      <x:c r="A304" s="92" t="n">
        <x:v>271</x:v>
      </x:c>
      <x:c r="B304" s="92" t="n">
        <x:f>SQRT('拟合与方案'!$B$7^2+('拟合与方案'!$C$7*(A304-'拟合与方案'!$D$7))^2)</x:f>
        <x:v>1679.5787496785042</x:v>
      </x:c>
      <x:c r="C304" s="92" t="n">
        <x:f>SQRT('拟合与方案'!$B$8^2+('拟合与方案'!$C$8*(A304-'拟合与方案'!$D$8))^2)</x:f>
        <x:v>1631.0309857471318</x:v>
      </x:c>
      <x:c r="D304" s="92" t="n">
        <x:f>MAX(B304,C304)/MIN(B304,C304)</x:f>
        <x:v>1.0297650776445144</x:v>
      </x:c>
      <x:c r="E304" s="92" t="n">
        <x:f>IF(A304&lt;'拟合与方案'!$C$13,"",SQRT('拟合与方案'!$F$13^2+('拟合与方案'!$G$13*(A304-'拟合与方案'!$H$13))^2))</x:f>
        <x:v>2054.8249562729434</x:v>
      </x:c>
      <x:c r="F304" s="92" t="n">
        <x:f>C304</x:f>
        <x:v>1631.0309857471318</x:v>
      </x:c>
      <x:c r="G304" s="92" t="n">
        <x:f>IF(E304="","",MAX(E304,F304)/MIN(E304,F304))</x:f>
        <x:v>1.2598319555110615</x:v>
      </x:c>
      <x:c r="H304" s="92" t="n">
        <x:f>IF(A304&lt;'拟合与方案'!$C$15,"",SQRT('拟合与方案'!$F$15^2+('拟合与方案'!$G$15*(A304-'拟合与方案'!$H$15))^2))</x:f>
        <x:v>2484.1842470729453</x:v>
      </x:c>
      <x:c r="I304" s="92" t="n">
        <x:f>C304</x:f>
        <x:v>1631.0309857471318</x:v>
      </x:c>
      <x:c r="J304" s="92" t="n">
        <x:f>IF(H304="","",MAX(H304,I304)/MIN(H304,I304))</x:f>
        <x:v>1.5230760597322477</x:v>
      </x:c>
    </x:row>
    <x:row r="305" ht="15" hidden="0" customHeight="1">
      <x:c r="A305" s="92" t="n">
        <x:v>271.5</x:v>
      </x:c>
      <x:c r="B305" s="92" t="n">
        <x:f>SQRT('拟合与方案'!$B$7^2+('拟合与方案'!$C$7*(A305-'拟合与方案'!$D$7))^2)</x:f>
        <x:v>1696.3402638343202</x:v>
      </x:c>
      <x:c r="C305" s="92" t="n">
        <x:f>SQRT('拟合与方案'!$B$8^2+('拟合与方案'!$C$8*(A305-'拟合与方案'!$D$8))^2)</x:f>
        <x:v>1651.62367066352</x:v>
      </x:c>
      <x:c r="D305" s="92" t="n">
        <x:f>MAX(B305,C305)/MIN(B305,C305)</x:f>
        <x:v>1.0270743232644735</x:v>
      </x:c>
      <x:c r="E305" s="92" t="n">
        <x:f>IF(A305&lt;'拟合与方案'!$C$13,"",SQRT('拟合与方案'!$F$13^2+('拟合与方案'!$G$13*(A305-'拟合与方案'!$H$13))^2))</x:f>
        <x:v>2080.8161697119713</x:v>
      </x:c>
      <x:c r="F305" s="92" t="n">
        <x:f>C305</x:f>
        <x:v>1651.62367066352</x:v>
      </x:c>
      <x:c r="G305" s="92" t="n">
        <x:f>IF(E305="","",MAX(E305,F305)/MIN(E305,F305))</x:f>
        <x:v>1.2598609517845119</x:v>
      </x:c>
      <x:c r="H305" s="92" t="n">
        <x:f>IF(A305&lt;'拟合与方案'!$C$15,"",SQRT('拟合与方案'!$F$15^2+('拟合与方案'!$G$15*(A305-'拟合与方案'!$H$15))^2))</x:f>
        <x:v>2517.6083547616404</x:v>
      </x:c>
      <x:c r="I305" s="92" t="n">
        <x:f>C305</x:f>
        <x:v>1651.62367066352</x:v>
      </x:c>
      <x:c r="J305" s="92" t="n">
        <x:f>IF(H305="","",MAX(H305,I305)/MIN(H305,I305))</x:f>
        <x:v>1.5243232459548255</x:v>
      </x:c>
    </x:row>
    <x:row r="306" ht="15" hidden="0" customHeight="1">
      <x:c r="A306" s="92" t="n">
        <x:v>272</x:v>
      </x:c>
      <x:c r="B306" s="92" t="n">
        <x:f>SQRT('拟合与方案'!$B$7^2+('拟合与方案'!$C$7*(A306-'拟合与方案'!$D$7))^2)</x:f>
        <x:v>1713.1651630510844</x:v>
      </x:c>
      <x:c r="C306" s="92" t="n">
        <x:f>SQRT('拟合与方案'!$B$8^2+('拟合与方案'!$C$8*(A306-'拟合与方案'!$D$8))^2)</x:f>
        <x:v>1672.244050872764</x:v>
      </x:c>
      <x:c r="D306" s="92" t="n">
        <x:f>MAX(B306,C306)/MIN(B306,C306)</x:f>
        <x:v>1.024470777550061</x:v>
      </x:c>
      <x:c r="E306" s="92" t="n">
        <x:f>IF(A306&lt;'拟合与方案'!$C$13,"",SQRT('拟合与方案'!$F$13^2+('拟合与方案'!$G$13*(A306-'拟合与方案'!$H$13))^2))</x:f>
        <x:v>2106.8417272586235</x:v>
      </x:c>
      <x:c r="F306" s="92" t="n">
        <x:f>C306</x:f>
        <x:v>1672.244050872764</x:v>
      </x:c>
      <x:c r="G306" s="92" t="n">
        <x:f>IF(E306="","",MAX(E306,F306)/MIN(E306,F306))</x:f>
        <x:v>1.2598889056648386</x:v>
      </x:c>
      <x:c r="H306" s="92" t="n">
        <x:f>IF(A306&lt;'拟合与方案'!$C$15,"",SQRT('拟合与方案'!$F$15^2+('拟合与方案'!$G$15*(A306-'拟合与方案'!$H$15))^2))</x:f>
        <x:v>2551.051853377035</x:v>
      </x:c>
      <x:c r="I306" s="92" t="n">
        <x:f>C306</x:f>
        <x:v>1672.244050872764</x:v>
      </x:c>
      <x:c r="J306" s="92" t="n">
        <x:f>IF(H306="","",MAX(H306,I306)/MIN(H306,I306))</x:f>
        <x:v>1.5255260451042483</x:v>
      </x:c>
    </x:row>
    <x:row r="307" ht="15" hidden="0" customHeight="1">
      <x:c r="A307" s="92" t="n">
        <x:v>272.5</x:v>
      </x:c>
      <x:c r="B307" s="92" t="n">
        <x:f>SQRT('拟合与方案'!$B$7^2+('拟合与方案'!$C$7*(A307-'拟合与方案'!$D$7))^2)</x:f>
        <x:v>1730.0515980544274</x:v>
      </x:c>
      <x:c r="C307" s="92" t="n">
        <x:f>SQRT('拟合与方案'!$B$8^2+('拟合与方案'!$C$8*(A307-'拟合与方案'!$D$8))^2)</x:f>
        <x:v>1692.8911143417342</x:v>
      </x:c>
      <x:c r="D307" s="92" t="n">
        <x:f>MAX(B307,C307)/MIN(B307,C307)</x:f>
        <x:v>1.0219509000891311</x:v>
      </x:c>
      <x:c r="E307" s="92" t="n">
        <x:f>IF(A307&lt;'拟合与方案'!$C$13,"",SQRT('拟合与方案'!$F$13^2+('拟合与方案'!$G$13*(A307-'拟合与方案'!$H$13))^2))</x:f>
        <x:v>2132.900371717349</x:v>
      </x:c>
      <x:c r="F307" s="92" t="n">
        <x:f>C307</x:f>
        <x:v>1692.8911143417342</x:v>
      </x:c>
      <x:c r="G307" s="92" t="n">
        <x:f>IF(E307="","",MAX(E307,F307)/MIN(E307,F307))</x:f>
        <x:v>1.259915864433318</x:v>
      </x:c>
      <x:c r="H307" s="92" t="n">
        <x:f>IF(A307&lt;'拟合与方案'!$C$15,"",SQRT('拟合与方案'!$F$15^2+('拟合与方案'!$G$15*(A307-'拟合与方案'!$H$15))^2))</x:f>
        <x:v>2584.513990165994</x:v>
      </x:c>
      <x:c r="I307" s="92" t="n">
        <x:f>C307</x:f>
        <x:v>1692.8911143417342</x:v>
      </x:c>
      <x:c r="J307" s="92" t="n">
        <x:f>IF(H307="","",MAX(H307,I307)/MIN(H307,I307))</x:f>
        <x:v>1.526686488144844</x:v>
      </x:c>
    </x:row>
    <x:row r="308" ht="15" hidden="0" customHeight="1">
      <x:c r="A308" s="92" t="n">
        <x:v>273</x:v>
      </x:c>
      <x:c r="B308" s="92" t="n">
        <x:f>SQRT('拟合与方案'!$B$7^2+('拟合与方案'!$C$7*(A308-'拟合与方案'!$D$7))^2)</x:f>
        <x:v>1746.9977844353382</x:v>
      </x:c>
      <x:c r="C308" s="92" t="n">
        <x:f>SQRT('拟合与方案'!$B$8^2+('拟合与方案'!$C$8*(A308-'拟合与方案'!$D$8))^2)</x:f>
        <x:v>1713.563896535399</x:v>
      </x:c>
      <x:c r="D308" s="92" t="n">
        <x:f>MAX(B308,C308)/MIN(B308,C308)</x:f>
        <x:v>1.0195113167168952</x:v>
      </x:c>
      <x:c r="E308" s="92" t="n">
        <x:f>IF(A308&lt;'拟合与方案'!$C$13,"",SQRT('拟合与方案'!$F$13^2+('拟合与方案'!$G$13*(A308-'拟合与方案'!$H$13))^2))</x:f>
        <x:v>2158.99090502867</x:v>
      </x:c>
      <x:c r="F308" s="92" t="n">
        <x:f>C308</x:f>
        <x:v>1713.563896535399</x:v>
      </x:c>
      <x:c r="G308" s="92" t="n">
        <x:f>IF(E308="","",MAX(E308,F308)/MIN(E308,F308))</x:f>
        <x:v>1.2599418728381626</x:v>
      </x:c>
      <x:c r="H308" s="92" t="n">
        <x:f>IF(A308&lt;'拟合与方案'!$C$15,"",SQRT('拟合与方案'!$F$15^2+('拟合与方案'!$G$15*(A308-'拟合与方案'!$H$15))^2))</x:f>
        <x:v>2617.994050451919</x:v>
      </x:c>
      <x:c r="I308" s="92" t="n">
        <x:f>C308</x:f>
        <x:v>1713.563896535399</x:v>
      </x:c>
      <x:c r="J308" s="92" t="n">
        <x:f>IF(H308="","",MAX(H308,I308)/MIN(H308,I308))</x:f>
        <x:v>1.5278064948410497</x:v>
      </x:c>
    </x:row>
    <x:row r="309" ht="15" hidden="0" customHeight="1">
      <x:c r="A309" s="92" t="n">
        <x:v>273.5</x:v>
      </x:c>
      <x:c r="B309" s="92" t="n">
        <x:f>SQRT('拟合与方案'!$B$7^2+('拟合与方案'!$C$7*(A309-'拟合与方案'!$D$7))^2)</x:f>
        <x:v>1764.0020001592277</x:v>
      </x:c>
      <x:c r="C309" s="92" t="n">
        <x:f>SQRT('拟合与方案'!$B$8^2+('拟合与方案'!$C$8*(A309-'拟合与方案'!$D$8))^2)</x:f>
        <x:v>1734.2614777352617</x:v>
      </x:c>
      <x:c r="D309" s="92" t="n">
        <x:f>MAX(B309,C309)/MIN(B309,C309)</x:f>
        <x:v>1.0171488110678695</x:v>
      </x:c>
      <x:c r="E309" s="92" t="n">
        <x:f>IF(A309&lt;'拟合与方案'!$C$13,"",SQRT('拟合与方案'!$F$13^2+('拟合与方案'!$G$13*(A309-'拟合与方案'!$H$13))^2))</x:f>
        <x:v>2185.1121849213214</x:v>
      </x:c>
      <x:c r="F309" s="92" t="n">
        <x:f>C309</x:f>
        <x:v>1734.2614777352617</x:v>
      </x:c>
      <x:c r="G309" s="92" t="n">
        <x:f>IF(E309="","",MAX(E309,F309)/MIN(E309,F309))</x:f>
        <x:v>1.2599669732472043</x:v>
      </x:c>
      <x:c r="H309" s="92" t="n">
        <x:f>IF(A309&lt;'拟合与方案'!$C$15,"",SQRT('拟合与方案'!$F$15^2+('拟合与方案'!$G$15*(A309-'拟合与方案'!$H$15))^2))</x:f>
        <x:v>2651.4913552814187</x:v>
      </x:c>
      <x:c r="I309" s="92" t="n">
        <x:f>C309</x:f>
        <x:v>1734.2614777352617</x:v>
      </x:c>
      <x:c r="J309" s="92" t="n">
        <x:f>IF(H309="","",MAX(H309,I309)/MIN(H309,I309))</x:f>
        <x:v>1.5288878807040964</x:v>
      </x:c>
    </x:row>
    <x:row r="310" ht="15" hidden="0" customHeight="1">
      <x:c r="A310" s="92" t="n">
        <x:v>274</x:v>
      </x:c>
      <x:c r="B310" s="92" t="n">
        <x:f>SQRT('拟合与方案'!$B$7^2+('拟合与方案'!$C$7*(A310-'拟合与方案'!$D$7))^2)</x:f>
        <x:v>1781.0625831682626</x:v>
      </x:c>
      <x:c r="C310" s="92" t="n">
        <x:f>SQRT('拟合与方案'!$B$8^2+('拟合与方案'!$C$8*(A310-'拟合与方案'!$D$8))^2)</x:f>
        <x:v>1754.9829805322734</x:v>
      </x:c>
      <x:c r="D310" s="92" t="n">
        <x:f>MAX(B310,C310)/MIN(B310,C310)</x:f>
        <x:v>1.0148603165530867</x:v>
      </x:c>
      <x:c r="E310" s="92" t="n">
        <x:f>IF(A310&lt;'拟合与方案'!$C$13,"",SQRT('拟合与方案'!$F$13^2+('拟合与方案'!$G$13*(A310-'拟合与方案'!$H$13))^2))</x:f>
        <x:v>2211.263121782966</x:v>
      </x:c>
      <x:c r="F310" s="92" t="n">
        <x:f>C310</x:f>
        <x:v>1754.9829805322734</x:v>
      </x:c>
      <x:c r="G310" s="92" t="n">
        <x:f>IF(E310="","",MAX(E310,F310)/MIN(E310,F310))</x:f>
        <x:v>1.2599912057906717</x:v>
      </x:c>
      <x:c r="H310" s="92" t="n">
        <x:f>IF(A310&lt;'拟合与方案'!$C$15,"",SQRT('拟合与方案'!$F$15^2+('拟合与方案'!$G$15*(A310-'拟合与方案'!$H$15))^2))</x:f>
        <x:v>2685.0052592416077</x:v>
      </x:c>
      <x:c r="I310" s="92" t="n">
        <x:f>C310</x:f>
        <x:v>1754.9829805322734</x:v>
      </x:c>
      <x:c r="J310" s="92" t="n">
        <x:f>IF(H310="","",MAX(H310,I310)/MIN(H310,I310))</x:f>
        <x:v>1.5299323634621604</x:v>
      </x:c>
    </x:row>
    <x:row r="311" ht="15" hidden="0" customHeight="1">
      <x:c r="A311" s="92" t="n">
        <x:v>274.5</x:v>
      </x:c>
      <x:c r="B311" s="92" t="n">
        <x:f>SQRT('拟合与方案'!$B$7^2+('拟合与方案'!$C$7*(A311-'拟合与方案'!$D$7))^2)</x:f>
        <x:v>1798.177929074519</x:v>
      </x:c>
      <x:c r="C311" s="92" t="n">
        <x:f>SQRT('拟合与方案'!$B$8^2+('拟合与方案'!$C$8*(A311-'拟合与方案'!$D$8))^2)</x:f>
        <x:v>1775.7275674815446</x:v>
      </x:c>
      <x:c r="D311" s="92" t="n">
        <x:f>MAX(B311,C311)/MIN(B311,C311)</x:f>
        <x:v>1.0126429087457458</x:v>
      </x:c>
      <x:c r="E311" s="92" t="n">
        <x:f>IF(A311&lt;'拟合与方案'!$C$13,"",SQRT('拟合与方案'!$F$13^2+('拟合与方案'!$G$13*(A311-'拟合与方案'!$H$13))^2))</x:f>
        <x:v>2237.4426757335427</x:v>
      </x:c>
      <x:c r="F311" s="92" t="n">
        <x:f>C311</x:f>
        <x:v>1775.7275674815446</x:v>
      </x:c>
      <x:c r="G311" s="92" t="n">
        <x:f>IF(E311="","",MAX(E311,F311)/MIN(E311,F311))</x:f>
        <x:v>1.2600146084947217</x:v>
      </x:c>
      <x:c r="H311" s="92" t="n">
        <x:f>IF(A311&lt;'拟合与方案'!$C$15,"",SQRT('拟合与方案'!$F$15^2+('拟合与方案'!$G$15*(A311-'拟合与方案'!$H$15))^2))</x:f>
        <x:v>2718.535148433922</x:v>
      </x:c>
      <x:c r="I311" s="92" t="n">
        <x:f>C311</x:f>
        <x:v>1775.7275674815446</x:v>
      </x:c>
      <x:c r="J311" s="92" t="n">
        <x:f>IF(H311="","",MAX(H311,I311)/MIN(H311,I311))</x:f>
        <x:v>1.5309415690885118</x:v>
      </x:c>
    </x:row>
    <x:row r="312" ht="15" hidden="0" customHeight="1">
      <x:c r="A312" s="92" t="n">
        <x:v>275</x:v>
      </x:c>
      <x:c r="B312" s="92" t="n">
        <x:f>SQRT('拟合与方案'!$B$7^2+('拟合与方案'!$C$7*(A312-'拟合与方案'!$D$7))^2)</x:f>
        <x:v>1815.3464889414145</x:v>
      </x:c>
      <x:c r="C312" s="92" t="n">
        <x:f>SQRT('拟合与方案'!$B$8^2+('拟合与方案'!$C$8*(A312-'拟合与方案'!$D$8))^2)</x:f>
        <x:v>1796.4944389071845</x:v>
      </x:c>
      <x:c r="D312" s="92" t="n">
        <x:f>MAX(B312,C312)/MIN(B312,C312)</x:f>
        <x:v>1.0104937981582052</x:v>
      </x:c>
      <x:c r="E312" s="92" t="n">
        <x:f>IF(A312&lt;'拟合与方案'!$C$13,"",SQRT('拟合与方案'!$F$13^2+('拟合与方案'!$G$13*(A312-'拟合与方案'!$H$13))^2))</x:f>
        <x:v>2263.649853886551</x:v>
      </x:c>
      <x:c r="F312" s="92" t="n">
        <x:f>C312</x:f>
        <x:v>1796.4944389071845</x:v>
      </x:c>
      <x:c r="G312" s="92" t="n">
        <x:f>IF(E312="","",MAX(E312,F312)/MIN(E312,F312))</x:f>
        <x:v>1.260037217406328</x:v>
      </x:c>
      <x:c r="H312" s="92" t="n">
        <x:f>IF(A312&lt;'拟合与方案'!$C$15,"",SQRT('拟合与方案'!$F$15^2+('拟合与方案'!$G$15*(A312-'拟合与方案'!$H$15))^2))</x:f>
        <x:v>2752.0804385916404</x:v>
      </x:c>
      <x:c r="I312" s="92" t="n">
        <x:f>C312</x:f>
        <x:v>1796.4944389071845</x:v>
      </x:c>
      <x:c r="J312" s="92" t="n">
        <x:f>IF(H312="","",MAX(H312,I312)/MIN(H312,I312))</x:f>
        <x:v>1.5319170374196889</x:v>
      </x:c>
    </x:row>
    <x:row r="313" ht="15" hidden="0" customHeight="1">
      <x:c r="A313" s="92" t="n">
        <x:v>275.5</x:v>
      </x:c>
      <x:c r="B313" s="92" t="n">
        <x:f>SQRT('拟合与方案'!$B$7^2+('拟合与方案'!$C$7*(A313-'拟合与方案'!$D$7))^2)</x:f>
        <x:v>1832.5667671508147</x:v>
      </x:c>
      <x:c r="C313" s="92" t="n">
        <x:f>SQRT('拟合与方案'!$B$8^2+('拟合与方案'!$C$8*(A313-'拟合与方案'!$D$8))^2)</x:f>
        <x:v>1817.2828308465057</x:v>
      </x:c>
      <x:c r="D313" s="92" t="n">
        <x:f>MAX(B313,C313)/MIN(B313,C313)</x:f>
        <x:v>1.008410323393189</x:v>
      </x:c>
      <x:c r="E313" s="92" t="n">
        <x:f>IF(A313&lt;'拟合与方案'!$C$13,"",SQRT('拟合与方案'!$F$13^2+('拟合与方案'!$G$13*(A313-'拟合与方案'!$H$13))^2))</x:f>
        <x:v>2289.8837077847725</x:v>
      </x:c>
      <x:c r="F313" s="92" t="n">
        <x:f>C313</x:f>
        <x:v>1817.2828308465057</x:v>
      </x:c>
      <x:c r="G313" s="92" t="n">
        <x:f>IF(E313="","",MAX(E313,F313)/MIN(E313,F313))</x:f>
        <x:v>1.2600590667101197</x:v>
      </x:c>
      <x:c r="H313" s="92" t="n">
        <x:f>IF(A313&lt;'拟合与方案'!$C$15,"",SQRT('拟合与方案'!$F$15^2+('拟合与方案'!$G$15*(A313-'拟合与方案'!$H$15))^2))</x:f>
        <x:v>2785.6405733294837</x:v>
      </x:c>
      <x:c r="I313" s="92" t="n">
        <x:f>C313</x:f>
        <x:v>1817.2828308465057</x:v>
      </x:c>
      <x:c r="J313" s="92" t="n">
        <x:f>IF(H313="","",MAX(H313,I313)/MIN(H313,I313))</x:f>
        <x:v>1.532860227393393</x:v>
      </x:c>
    </x:row>
    <x:row r="314" ht="15" hidden="0" customHeight="1">
      <x:c r="A314" s="92" t="n">
        <x:v>276</x:v>
      </x:c>
      <x:c r="B314" s="92" t="n">
        <x:f>SQRT('拟合与方案'!$B$7^2+('拟合与方案'!$C$7*(A314-'拟合与方案'!$D$7))^2)</x:f>
        <x:v>1849.837319353172</x:v>
      </x:c>
      <x:c r="C314" s="92" t="n">
        <x:f>SQRT('拟合与方案'!$B$8^2+('拟合与方案'!$C$8*(A314-'拟合与方案'!$D$8))^2)</x:f>
        <x:v>1838.0920131236828</x:v>
      </x:c>
      <x:c r="D314" s="92" t="n">
        <x:f>MAX(B314,C314)/MIN(B314,C314)</x:f>
        <x:v>1.006389944652188</x:v>
      </x:c>
      <x:c r="E314" s="92" t="n">
        <x:f>IF(A314&lt;'拟合与方案'!$C$13,"",SQRT('拟合与方案'!$F$13^2+('拟合与方案'!$G$13*(A314-'拟合与方案'!$H$13))^2))</x:f>
        <x:v>2316.1433309979493</x:v>
      </x:c>
      <x:c r="F314" s="92" t="n">
        <x:f>C314</x:f>
        <x:v>1838.0920131236828</x:v>
      </x:c>
      <x:c r="G314" s="92" t="n">
        <x:f>IF(E314="","",MAX(E314,F314)/MIN(E314,F314))</x:f>
        <x:v>1.2600801888376951</x:v>
      </x:c>
      <x:c r="H314" s="92" t="n">
        <x:f>IF(A314&lt;'拟合与方案'!$C$15,"",SQRT('拟合与方案'!$F$15^2+('拟合与方案'!$G$15*(A314-'拟合与方案'!$H$15))^2))</x:f>
        <x:v>2819.215022514712</x:v>
      </x:c>
      <x:c r="I314" s="92" t="n">
        <x:f>C314</x:f>
        <x:v>1838.0920131236828</x:v>
      </x:c>
      <x:c r="J314" s="92" t="n">
        <x:f>IF(H314="","",MAX(H314,I314)/MIN(H314,I314))</x:f>
        <x:v>1.5337725219335963</x:v>
      </x:c>
    </x:row>
    <x:row r="315" ht="15" hidden="0" customHeight="1">
      <x:c r="A315" s="92" t="n">
        <x:v>276.5</x:v>
      </x:c>
      <x:c r="B315" s="92" t="n">
        <x:f>SQRT('拟合与方案'!$B$7^2+('拟合与方案'!$C$7*(A315-'拟合与方案'!$D$7))^2)</x:f>
        <x:v>1867.1567504980248</x:v>
      </x:c>
      <x:c r="C315" s="92" t="n">
        <x:f>SQRT('拟合与方案'!$B$8^2+('拟合与方案'!$C$8*(A315-'拟合与方案'!$D$8))^2)</x:f>
        <x:v>1858.921287543717</x:v>
      </x:c>
      <x:c r="D315" s="92" t="n">
        <x:f>MAX(B315,C315)/MIN(B315,C315)</x:f>
        <x:v>1.0044302375842873</x:v>
      </x:c>
      <x:c r="E315" s="92" t="n">
        <x:f>IF(A315&lt;'拟合与方案'!$C$13,"",SQRT('拟合与方案'!$F$13^2+('拟合与方案'!$G$13*(A315-'拟合与方案'!$H$13))^2))</x:f>
        <x:v>2342.4278568709474</x:v>
      </x:c>
      <x:c r="F315" s="92" t="n">
        <x:f>C315</x:f>
        <x:v>1858.921287543717</x:v>
      </x:c>
      <x:c r="G315" s="92" t="n">
        <x:f>IF(E315="","",MAX(E315,F315)/MIN(E315,F315))</x:f>
        <x:v>1.2601006145699214</x:v>
      </x:c>
      <x:c r="H315" s="92" t="n">
        <x:f>IF(A315&lt;'拟合与方案'!$C$15,"",SQRT('拟合与方案'!$F$15^2+('拟合与方案'!$G$15*(A315-'拟合与方案'!$H$15))^2))</x:f>
        <x:v>2852.8032807500754</x:v>
      </x:c>
      <x:c r="I315" s="92" t="n">
        <x:f>C315</x:f>
        <x:v>1858.921287543717</x:v>
      </x:c>
      <x:c r="J315" s="92" t="n">
        <x:f>IF(H315="","",MAX(H315,I315)/MIN(H315,I315))</x:f>
        <x:v>1.5346552325083236</x:v>
      </x:c>
    </x:row>
    <x:row r="316" ht="15" hidden="0" customHeight="1">
      <x:c r="A316" s="92" t="n">
        <x:v>277</x:v>
      </x:c>
      <x:c r="B316" s="92" t="n">
        <x:f>SQRT('拟合与方案'!$B$7^2+('拟合与方案'!$C$7*(A316-'拟合与方案'!$D$7))^2)</x:f>
        <x:v>1884.5237129421932</x:v>
      </x:c>
      <x:c r="C316" s="92" t="n">
        <x:f>SQRT('拟合与方案'!$B$8^2+('拟合与方案'!$C$8*(A316-'拟合与方案'!$D$8))^2)</x:f>
        <x:v>1879.7699861982694</x:v>
      </x:c>
      <x:c r="D316" s="92" t="n">
        <x:f>MAX(B316,C316)/MIN(B316,C316)</x:f>
        <x:v>1.002528887459012</x:v>
      </x:c>
      <x:c r="E316" s="92" t="n">
        <x:f>IF(A316&lt;'拟合与方案'!$C$13,"",SQRT('拟合与方案'!$F$13^2+('拟合与方案'!$G$13*(A316-'拟合与方案'!$H$13))^2))</x:f>
        <x:v>2368.7364564118075</x:v>
      </x:c>
      <x:c r="F316" s="92" t="n">
        <x:f>C316</x:f>
        <x:v>1879.7699861982694</x:v>
      </x:c>
      <x:c r="G316" s="92" t="n">
        <x:f>IF(E316="","",MAX(E316,F316)/MIN(E316,F316))</x:f>
        <x:v>1.2601203731326966</x:v>
      </x:c>
      <x:c r="H316" s="92" t="n">
        <x:f>IF(A316&lt;'拟合与方案'!$C$15,"",SQRT('拟合与方案'!$F$15^2+('拟合与方案'!$G$15*(A316-'拟合与方案'!$H$15))^2))</x:f>
        <x:v>2886.404865959852</x:v>
      </x:c>
      <x:c r="I316" s="92" t="n">
        <x:f>C316</x:f>
        <x:v>1879.7699861982694</x:v>
      </x:c>
      <x:c r="J316" s="92" t="n">
        <x:f>IF(H316="","",MAX(H316,I316)/MIN(H316,I316))</x:f>
        <x:v>1.535509603383681</x:v>
      </x:c>
    </x:row>
    <x:row r="317" ht="15" hidden="0" customHeight="1">
      <x:c r="A317" s="92" t="n">
        <x:v>277.5</x:v>
      </x:c>
      <x:c r="B317" s="92" t="n">
        <x:f>SQRT('拟合与方案'!$B$7^2+('拟合与方案'!$C$7*(A317-'拟合与方案'!$D$7))^2)</x:f>
        <x:v>1901.9369046330087</x:v>
      </x:c>
      <x:c r="C317" s="92" t="n">
        <x:f>SQRT('拟合与方案'!$B$8^2+('拟合与方案'!$C$8*(A317-'拟合与方案'!$D$8))^2)</x:f>
        <x:v>1900.637469875575</x:v>
      </x:c>
      <x:c r="D317" s="92" t="n">
        <x:f>MAX(B317,C317)/MIN(B317,C317)</x:f>
        <x:v>1.0006836836472126</x:v>
      </x:c>
      <x:c r="E317" s="92" t="n">
        <x:f>IF(A317&lt;'拟合与方案'!$C$13,"",SQRT('拟合与方案'!$F$13^2+('拟合与方案'!$G$13*(A317-'拟合与方案'!$H$13))^2))</x:f>
        <x:v>2395.06833630991</x:v>
      </x:c>
      <x:c r="F317" s="92" t="n">
        <x:f>C317</x:f>
        <x:v>1900.637469875575</x:v>
      </x:c>
      <x:c r="G317" s="92" t="n">
        <x:f>IF(E317="","",MAX(E317,F317)/MIN(E317,F317))</x:f>
        <x:v>1.2601394922866078</x:v>
      </x:c>
      <x:c r="H317" s="92" t="n">
        <x:f>IF(A317&lt;'拟合与方案'!$C$15,"",SQRT('拟合与方案'!$F$15^2+('拟合与方案'!$G$15*(A317-'拟合与方案'!$H$15))^2))</x:f>
        <x:v>2920.0193180709575</x:v>
      </x:c>
      <x:c r="I317" s="92" t="n">
        <x:f>C317</x:f>
        <x:v>1900.637469875575</x:v>
      </x:c>
      <x:c r="J317" s="92" t="n">
        <x:f>IF(H317="","",MAX(H317,I317)/MIN(H317,I317))</x:f>
        <x:v>1.5363368155959358</x:v>
      </x:c>
    </x:row>
    <x:row r="318" ht="15" hidden="0" customHeight="1">
      <x:c r="A318" s="92" t="n">
        <x:v>278</x:v>
      </x:c>
      <x:c r="B318" s="92" t="n">
        <x:f>SQRT('拟合与方案'!$B$7^2+('拟合与方案'!$C$7*(A318-'拟合与方案'!$D$7))^2)</x:f>
        <x:v>1919.39506736394</x:v>
      </x:c>
      <x:c r="C318" s="92" t="n">
        <x:f>SQRT('拟合与方案'!$B$8^2+('拟合与方案'!$C$8*(A318-'拟合与方案'!$D$8))^2)</x:f>
        <x:v>1921.5231265672414</x:v>
      </x:c>
      <x:c r="D318" s="92" t="n">
        <x:f>MAX(B318,C318)/MIN(B318,C318)</x:f>
        <x:v>1.0011087134897267</x:v>
      </x:c>
      <x:c r="E318" s="92" t="n">
        <x:f>IF(A318&lt;'拟合与方案'!$C$13,"",SQRT('拟合与方案'!$F$13^2+('拟合与方案'!$G$13*(A318-'拟合与方案'!$H$13))^2))</x:f>
        <x:v>2421.4227370752255</x:v>
      </x:c>
      <x:c r="F318" s="92" t="n">
        <x:f>C318</x:f>
        <x:v>1921.5231265672414</x:v>
      </x:c>
      <x:c r="G318" s="92" t="n">
        <x:f>IF(E318="","",MAX(E318,F318)/MIN(E318,F318))</x:f>
        <x:v>1.260157998410898</x:v>
      </x:c>
      <x:c r="H318" s="92" t="n">
        <x:f>IF(A318&lt;'拟合与方案'!$C$15,"",SQRT('拟合与方案'!$F$15^2+('拟合与方案'!$G$15*(A318-'拟合与方案'!$H$15))^2))</x:f>
        <x:v>2953.6461977818203</x:v>
      </x:c>
      <x:c r="I318" s="92" t="n">
        <x:f>C318</x:f>
        <x:v>1921.5231265672414</x:v>
      </x:c>
      <x:c r="J318" s="92" t="n">
        <x:f>IF(H318="","",MAX(H318,I318)/MIN(H318,I318))</x:f>
        <x:v>1.537137990661837</x:v>
      </x:c>
    </x:row>
    <x:row r="319" ht="15" hidden="0" customHeight="1">
      <x:c r="A319" s="92" t="n">
        <x:v>278.5</x:v>
      </x:c>
      <x:c r="B319" s="92" t="n">
        <x:f>SQRT('拟合与方案'!$B$7^2+('拟合与方案'!$C$7*(A319-'拟合与方案'!$D$7))^2)</x:f>
        <x:v>1936.8969851000154</x:v>
      </x:c>
      <x:c r="C319" s="92" t="n">
        <x:f>SQRT('拟合与方案'!$B$8^2+('拟合与方案'!$C$8*(A319-'拟合与方案'!$D$8))^2)</x:f>
        <x:v>1942.426370065285</x:v>
      </x:c>
      <x:c r="D319" s="92" t="n">
        <x:f>MAX(B319,C319)/MIN(B319,C319)</x:f>
        <x:v>1.0028547646094788</x:v>
      </x:c>
      <x:c r="E319" s="92" t="n">
        <x:f>IF(A319&lt;'拟合与方案'!$C$13,"",SQRT('拟合与方案'!$F$13^2+('拟合与方案'!$G$13*(A319-'拟合与方案'!$H$13))^2))</x:f>
        <x:v>2447.7989312903214</x:v>
      </x:c>
      <x:c r="F319" s="92" t="n">
        <x:f>C319</x:f>
        <x:v>1942.426370065285</x:v>
      </x:c>
      <x:c r="G319" s="92" t="n">
        <x:f>IF(E319="","",MAX(E319,F319)/MIN(E319,F319))</x:f>
        <x:v>1.2601759165821307</x:v>
      </x:c>
      <x:c r="H319" s="92" t="n">
        <x:f>IF(A319&lt;'拟合与方案'!$C$15,"",SQRT('拟合与方案'!$F$15^2+('拟合与方案'!$G$15*(A319-'拟合与方案'!$H$15))^2))</x:f>
        <x:v>2987.285085412335</x:v>
      </x:c>
      <x:c r="I319" s="92" t="n">
        <x:f>C319</x:f>
        <x:v>1942.426370065285</x:v>
      </x:c>
      <x:c r="J319" s="92" t="n">
        <x:f>IF(H319="","",MAX(H319,I319)/MIN(H319,I319))</x:f>
        <x:v>1.5379141940458376</x:v>
      </x:c>
    </x:row>
    <x:row r="320" ht="15" hidden="0" customHeight="1">
      <x:c r="A320" s="92" t="n">
        <x:v>279</x:v>
      </x:c>
      <x:c r="B320" s="92" t="n">
        <x:f>SQRT('拟合与方案'!$B$7^2+('拟合与方案'!$C$7*(A320-'拟合与方案'!$D$7))^2)</x:f>
        <x:v>1954.4414823704772</x:v>
      </x:c>
      <x:c r="C320" s="92" t="n">
        <x:f>SQRT('拟合与方案'!$B$8^2+('拟合与方案'!$C$8*(A320-'拟合与方案'!$D$8))^2)</x:f>
        <x:v>1963.3466386432601</x:v>
      </x:c>
      <x:c r="D320" s="92" t="n">
        <x:f>MAX(B320,C320)/MIN(B320,C320)</x:f>
        <x:v>1.0045563688414871</x:v>
      </x:c>
      <x:c r="E320" s="92" t="n">
        <x:f>IF(A320&lt;'拟合与方案'!$C$13,"",SQRT('拟合与方案'!$F$13^2+('拟合与方案'!$G$13*(A320-'拟合与方案'!$H$13))^2))</x:f>
        <x:v>2474.196221967411</x:v>
      </x:c>
      <x:c r="F320" s="92" t="n">
        <x:f>C320</x:f>
        <x:v>1963.3466386432601</x:v>
      </x:c>
      <x:c r="G320" s="92" t="n">
        <x:f>IF(E320="","",MAX(E320,F320)/MIN(E320,F320))</x:f>
        <x:v>1.2601932706479002</x:v>
      </x:c>
      <x:c r="H320" s="92" t="n">
        <x:f>IF(A320&lt;'拟合与方案'!$C$15,"",SQRT('拟合与方案'!$F$15^2+('拟合与方案'!$G$15*(A320-'拟合与方案'!$H$15))^2))</x:f>
        <x:v>3020.93557982879</x:v>
      </x:c>
      <x:c r="I320" s="92" t="n">
        <x:f>C320</x:f>
        <x:v>1963.3466386432601</x:v>
      </x:c>
      <x:c r="J320" s="92" t="n">
        <x:f>IF(H320="","",MAX(H320,I320)/MIN(H320,I320))</x:f>
        <x:v>1.5386664384015043</x:v>
      </x:c>
    </x:row>
    <x:row r="321" ht="15" hidden="0" customHeight="1">
      <x:c r="A321" s="92" t="n">
        <x:v>279.5</x:v>
      </x:c>
      <x:c r="B321" s="92" t="n">
        <x:f>SQRT('拟合与方案'!$B$7^2+('拟合与方案'!$C$7*(A321-'拟合与方案'!$D$7))^2)</x:f>
        <x:v>1972.027422726155</x:v>
      </x:c>
      <x:c r="C321" s="92" t="n">
        <x:f>SQRT('拟合与方案'!$B$8^2+('拟合与方案'!$C$8*(A321-'拟合与方案'!$D$8))^2)</x:f>
        <x:v>1984.2833938157899</x:v>
      </x:c>
      <x:c r="D321" s="92" t="n">
        <x:f>MAX(B321,C321)/MIN(B321,C321)</x:f>
        <x:v>1.0062149090567372</x:v>
      </x:c>
      <x:c r="E321" s="92" t="n">
        <x:f>IF(A321&lt;'拟合与方案'!$C$13,"",SQRT('拟合与方案'!$F$13^2+('拟合与方案'!$G$13*(A321-'拟合与方案'!$H$13))^2))</x:f>
        <x:v>2500.6139410033247</x:v>
      </x:c>
      <x:c r="F321" s="92" t="n">
        <x:f>C321</x:f>
        <x:v>1984.2833938157899</x:v>
      </x:c>
      <x:c r="G321" s="92" t="n">
        <x:f>IF(E321="","",MAX(E321,F321)/MIN(E321,F321))</x:f>
        <x:v>1.2602100832959287</x:v>
      </x:c>
      <x:c r="H321" s="92" t="n">
        <x:f>IF(A321&lt;'拟合与方案'!$C$15,"",SQRT('拟合与方案'!$F$15^2+('拟合与方案'!$G$15*(A321-'拟合与方案'!$H$15))^2))</x:f>
        <x:v>3054.5972974381734</x:v>
      </x:c>
      <x:c r="I321" s="92" t="n">
        <x:f>C321</x:f>
        <x:v>1984.2833938157899</x:v>
      </x:c>
      <x:c r="J321" s="92" t="n">
        <x:f>IF(H321="","",MAX(H321,I321)/MIN(H321,I321))</x:f>
        <x:v>1.5393956866030931</x:v>
      </x:c>
    </x:row>
    <x:row r="322" ht="15" hidden="0" customHeight="1">
      <x:c r="A322" s="92" t="n">
        <x:v>280</x:v>
      </x:c>
      <x:c r="B322" s="92" t="n">
        <x:f>SQRT('拟合与方案'!$B$7^2+('拟合与方案'!$C$7*(A322-'拟合与方案'!$D$7))^2)</x:f>
        <x:v>1989.6537072591016</x:v>
      </x:c>
      <x:c r="C322" s="92" t="n">
        <x:f>SQRT('拟合与方案'!$B$8^2+('拟合与方案'!$C$8*(A322-'拟合与方案'!$D$8))^2)</x:f>
        <x:v>2005.236119171247</x:v>
      </x:c>
      <x:c r="D322" s="92" t="n">
        <x:f>MAX(B322,C322)/MIN(B322,C322)</x:f>
        <x:v>1.007831720593033</x:v>
      </x:c>
      <x:c r="E322" s="92" t="n">
        <x:f>IF(A322&lt;'拟合与方案'!$C$13,"",SQRT('拟合与方案'!$F$13^2+('拟合与方案'!$G$13*(A322-'拟合与方案'!$H$13))^2))</x:f>
        <x:v>2527.0514477258184</x:v>
      </x:c>
      <x:c r="F322" s="92" t="n">
        <x:f>C322</x:f>
        <x:v>2005.236119171247</x:v>
      </x:c>
      <x:c r="G322" s="92" t="n">
        <x:f>IF(E322="","",MAX(E322,F322)/MIN(E322,F322))</x:f>
        <x:v>1.2602263761188557</x:v>
      </x:c>
      <x:c r="H322" s="92" t="n">
        <x:f>IF(A322&lt;'拟合与方案'!$C$15,"",SQRT('拟合与方案'!$F$15^2+('拟合与方案'!$G$15*(A322-'拟合与方案'!$H$15))^2))</x:f>
        <x:v>3088.269871246719</x:v>
      </x:c>
      <x:c r="I322" s="92" t="n">
        <x:f>C322</x:f>
        <x:v>2005.236119171247</x:v>
      </x:c>
      <x:c r="J322" s="92" t="n">
        <x:f>IF(H322="","",MAX(H322,I322)/MIN(H322,I322))</x:f>
        <x:v>1.5401028545820747</x:v>
      </x:c>
    </x:row>
    <x:row r="323" ht="15" hidden="0" customHeight="1">
      <x:c r="A323" s="92" t="n">
        <x:v>280.5</x:v>
      </x:c>
      <x:c r="B323" s="92" t="n">
        <x:f>SQRT('拟合与方案'!$B$7^2+('拟合与方案'!$C$7*(A323-'拟合与方案'!$D$7))^2)</x:f>
        <x:v>2007.3192731820925</x:v>
      </x:c>
      <x:c r="C323" s="92" t="n">
        <x:f>SQRT('拟合与方案'!$B$8^2+('拟合与方案'!$C$8*(A323-'拟合与方案'!$D$8))^2)</x:f>
        <x:v>2026.2043192727017</x:v>
      </x:c>
      <x:c r="D323" s="92" t="n">
        <x:f>MAX(B323,C323)/MIN(B323,C323)</x:f>
        <x:v>1.009408092844479</x:v>
      </x:c>
      <x:c r="E323" s="92" t="n">
        <x:f>IF(A323&lt;'拟合与方案'!$C$13,"",SQRT('拟合与方案'!$F$13^2+('拟合与方案'!$G$13*(A323-'拟合与方案'!$H$13))^2))</x:f>
        <x:v>2553.5081275250996</x:v>
      </x:c>
      <x:c r="F323" s="92" t="n">
        <x:f>C323</x:f>
        <x:v>2026.2043192727017</x:v>
      </x:c>
      <x:c r="G323" s="92" t="n">
        <x:f>IF(E323="","",MAX(E323,F323)/MIN(E323,F323))</x:f>
        <x:v>1.2602421696750068</x:v>
      </x:c>
      <x:c r="H323" s="92" t="n">
        <x:f>IF(A323&lt;'拟合与方案'!$C$15,"",SQRT('拟合与方案'!$F$15^2+('拟合与方案'!$G$15*(A323-'拟合与方案'!$H$15))^2))</x:f>
        <x:v>3121.9529499780124</x:v>
      </x:c>
      <x:c r="I323" s="92" t="n">
        <x:f>C323</x:f>
        <x:v>2026.2043192727017</x:v>
      </x:c>
      <x:c r="J323" s="92" t="n">
        <x:f>IF(H323="","",MAX(H323,I323)/MIN(H323,I323))</x:f>
        <x:v>1.5407888139823063</x:v>
      </x:c>
    </x:row>
    <x:row r="324" ht="15" hidden="0" customHeight="1">
      <x:c r="A324" s="92" t="n">
        <x:v>281</x:v>
      </x:c>
      <x:c r="B324" s="92" t="n">
        <x:f>SQRT('拟合与方案'!$B$7^2+('拟合与方案'!$C$7*(A324-'拟合与方案'!$D$7))^2)</x:f>
        <x:v>2025.0230924656528</x:v>
      </x:c>
      <x:c r="C324" s="92" t="n">
        <x:f>SQRT('拟合与方案'!$B$8^2+('拟合与方案'!$C$8*(A324-'拟合与方案'!$D$8))^2)</x:f>
        <x:v>2047.1875186226284</x:v>
      </x:c>
      <x:c r="D324" s="92" t="n">
        <x:f>MAX(B324,C324)/MIN(B324,C324)</x:f>
        <x:v>1.0109452708166347</x:v>
      </x:c>
      <x:c r="E324" s="92" t="n">
        <x:f>IF(A324&lt;'拟合与方案'!$C$13,"",SQRT('拟合与方案'!$F$13^2+('拟合与方案'!$G$13*(A324-'拟合与方案'!$H$13))^2))</x:f>
        <x:v>2579.9833905649325</x:v>
      </x:c>
      <x:c r="F324" s="92" t="n">
        <x:f>C324</x:f>
        <x:v>2047.1875186226284</x:v>
      </x:c>
      <x:c r="G324" s="92" t="n">
        <x:f>IF(E324="","",MAX(E324,F324)/MIN(E324,F324))</x:f>
        <x:v>1.2602574835454132</x:v>
      </x:c>
      <x:c r="H324" s="92" t="n">
        <x:f>IF(A324&lt;'拟合与方案'!$C$15,"",SQRT('拟合与方案'!$F$15^2+('拟合与方案'!$G$15*(A324-'拟合与方案'!$H$15))^2))</x:f>
        <x:v>3155.6461972463185</x:v>
      </x:c>
      <x:c r="I324" s="92" t="n">
        <x:f>C324</x:f>
        <x:v>2047.1875186226284</x:v>
      </x:c>
      <x:c r="J324" s="92" t="n">
        <x:f>IF(H324="","",MAX(H324,I324)/MIN(H324,I324))</x:f>
        <x:v>1.541454394646502</x:v>
      </x:c>
    </x:row>
    <x:row r="325" ht="15" hidden="0" customHeight="1">
      <x:c r="A325" s="92" t="n">
        <x:v>281.5</x:v>
      </x:c>
      <x:c r="B325" s="92" t="n">
        <x:f>SQRT('拟合与方案'!$B$7^2+('拟合与方案'!$C$7*(A325-'拟合与方案'!$D$7))^2)</x:f>
        <x:v>2042.764170530338</x:v>
      </x:c>
      <x:c r="C325" s="92" t="n">
        <x:f>SQRT('拟合与方案'!$B$8^2+('拟合与方案'!$C$8*(A325-'拟合与方案'!$D$8))^2)</x:f>
        <x:v>2068.185260687188</x:v>
      </x:c>
      <x:c r="D325" s="92" t="n">
        <x:f>MAX(B325,C325)/MIN(B325,C325)</x:f>
        <x:v>1.0124444566453552</x:v>
      </x:c>
      <x:c r="E325" s="92" t="n">
        <x:f>IF(A325&lt;'拟合与方案'!$C$13,"",SQRT('拟合与方案'!$F$13^2+('拟合与方案'!$G$13*(A325-'拟合与方案'!$H$13))^2))</x:f>
        <x:v>2606.47667056809</x:v>
      </x:c>
      <x:c r="F325" s="92" t="n">
        <x:f>C325</x:f>
        <x:v>2068.185260687188</x:v>
      </x:c>
      <x:c r="G325" s="92" t="n">
        <x:f>IF(E325="","",MAX(E325,F325)/MIN(E325,F325))</x:f>
        <x:v>1.260272336387334</x:v>
      </x:c>
      <x:c r="H325" s="92" t="n">
        <x:f>IF(A325&lt;'拟合与方案'!$C$15,"",SQRT('拟合与方案'!$F$15^2+('拟合与方案'!$G$15*(A325-'拟合与方案'!$H$15))^2))</x:f>
        <x:v>3189.3492907811847</x:v>
      </x:c>
      <x:c r="I325" s="92" t="n">
        <x:f>C325</x:f>
        <x:v>2068.185260687188</x:v>
      </x:c>
      <x:c r="J325" s="92" t="n">
        <x:f>IF(H325="","",MAX(H325,I325)/MIN(H325,I325))</x:f>
        <x:v>1.542100386945738</x:v>
      </x:c>
    </x:row>
    <x:row r="326" ht="15" hidden="0" customHeight="1">
      <x:c r="A326" s="92" t="n">
        <x:v>282</x:v>
      </x:c>
      <x:c r="B326" s="92" t="n">
        <x:f>SQRT('拟合与方案'!$B$7^2+('拟合与方案'!$C$7*(A326-'拟合与方案'!$D$7))^2)</x:f>
        <x:v>2060.5415449920724</x:v>
      </x:c>
      <x:c r="C326" s="92" t="n">
        <x:f>SQRT('拟合与方案'!$B$8^2+('拟合与方案'!$C$8*(A326-'拟合与方案'!$D$8))^2)</x:f>
        <x:v>2089.1971069761994</x:v>
      </x:c>
      <x:c r="D326" s="92" t="n">
        <x:f>MAX(B326,C326)/MIN(B326,C326)</x:f>
        <x:v>1.0139068110777825</x:v>
      </x:c>
      <x:c r="E326" s="92" t="n">
        <x:f>IF(A326&lt;'拟合与方案'!$C$13,"",SQRT('拟合与方案'!$F$13^2+('拟合与方案'!$G$13*(A326-'拟合与方案'!$H$13))^2))</x:f>
        <x:v>2632.9874236712776</x:v>
      </x:c>
      <x:c r="F326" s="92" t="n">
        <x:f>C326</x:f>
        <x:v>2089.1971069761994</x:v>
      </x:c>
      <x:c r="G326" s="92" t="n">
        <x:f>IF(E326="","",MAX(E326,F326)/MIN(E326,F326))</x:f>
        <x:v>1.2602867459845057</x:v>
      </x:c>
      <x:c r="H326" s="92" t="n">
        <x:f>IF(A326&lt;'拟合与方案'!$C$15,"",SQRT('拟合与方案'!$F$15^2+('拟合与方案'!$G$15*(A326-'拟合与方案'!$H$15))^2))</x:f>
        <x:v>3223.061921699658</x:v>
      </x:c>
      <x:c r="I326" s="92" t="n">
        <x:f>C326</x:f>
        <x:v>2089.1971069761994</x:v>
      </x:c>
      <x:c r="J326" s="92" t="n">
        <x:f>IF(H326="","",MAX(H326,I326)/MIN(H326,I326))</x:f>
        <x:v>1.5427275439628376</x:v>
      </x:c>
    </x:row>
    <x:row r="327" ht="15" hidden="0" customHeight="1">
      <x:c r="A327" s="92" t="n">
        <x:v>282.5</x:v>
      </x:c>
      <x:c r="B327" s="92" t="n">
        <x:f>SQRT('拟合与方案'!$B$7^2+('拟合与方案'!$C$7*(A327-'拟合与方案'!$D$7))^2)</x:f>
        <x:v>2078.3542844584044</x:v>
      </x:c>
      <x:c r="C327" s="92" t="n">
        <x:f>SQRT('拟合与方案'!$B$8^2+('拟合与方案'!$C$8*(A327-'拟合与方案'!$D$8))^2)</x:f>
        <x:v>2110.2226361752087</x:v>
      </x:c>
      <x:c r="D327" s="92" t="n">
        <x:f>MAX(B327,C327)/MIN(B327,C327)</x:f>
        <x:v>1.0153334549143573</x:v>
      </x:c>
      <x:c r="E327" s="92" t="n">
        <x:f>IF(A327&lt;'拟合与方案'!$C$13,"",SQRT('拟合与方案'!$F$13^2+('拟合与方案'!$G$13*(A327-'拟合与方案'!$H$13))^2))</x:f>
        <x:v>2659.5151273450415</x:v>
      </x:c>
      <x:c r="F327" s="92" t="n">
        <x:f>C327</x:f>
        <x:v>2110.2226361752087</x:v>
      </x:c>
      <x:c r="G327" s="92" t="n">
        <x:f>IF(E327="","",MAX(E327,F327)/MIN(E327,F327))</x:f>
        <x:v>1.2603007292943407</x:v>
      </x:c>
      <x:c r="H327" s="92" t="n">
        <x:f>IF(A327&lt;'拟合与方案'!$C$15,"",SQRT('拟合与方案'!$F$15^2+('拟合与方案'!$G$15*(A327-'拟合与方案'!$H$15))^2))</x:f>
        <x:v>3256.7837938227785</x:v>
      </x:c>
      <x:c r="I327" s="92" t="n">
        <x:f>C327</x:f>
        <x:v>2110.2226361752087</x:v>
      </x:c>
      <x:c r="J327" s="92" t="n">
        <x:f>IF(H327="","",MAX(H327,I327)/MIN(H327,I327))</x:f>
        <x:v>1.5433365835396966</x:v>
      </x:c>
    </x:row>
    <x:row r="328" ht="15" hidden="0" customHeight="1">
      <x:c r="A328" s="92" t="n">
        <x:v>283</x:v>
      </x:c>
      <x:c r="B328" s="92" t="n">
        <x:f>SQRT('拟合与方案'!$B$7^2+('拟合与方案'!$C$7*(A328-'拟合与方案'!$D$7))^2)</x:f>
        <x:v>2096.201487373619</x:v>
      </x:c>
      <x:c r="C328" s="92" t="n">
        <x:f>SQRT('拟合与方案'!$B$8^2+('拟合与方案'!$C$8*(A328-'拟合与方案'!$D$8))^2)</x:f>
        <x:v>2131.2614433263</x:v>
      </x:c>
      <x:c r="D328" s="92" t="n">
        <x:f>MAX(B328,C328)/MIN(B328,C328)</x:f>
        <x:v>1.016725470411057</x:v>
      </x:c>
      <x:c r="E328" s="92" t="n">
        <x:f>IF(A328&lt;'拟合与方案'!$C$13,"",SQRT('拟合与方案'!$F$13^2+('拟合与方案'!$G$13*(A328-'拟合与方案'!$H$13))^2))</x:f>
        <x:v>2686.0592793744736</x:v>
      </x:c>
      <x:c r="F328" s="92" t="n">
        <x:f>C328</x:f>
        <x:v>2131.2614433263</x:v>
      </x:c>
      <x:c r="G328" s="92" t="n">
        <x:f>IF(E328="","",MAX(E328,F328)/MIN(E328,F328))</x:f>
        <x:v>1.260314302492279</x:v>
      </x:c>
      <x:c r="H328" s="92" t="n">
        <x:f>IF(A328&lt;'拟合与方案'!$C$15,"",SQRT('拟合与方案'!$F$15^2+('拟合与方案'!$G$15*(A328-'拟合与方案'!$H$15))^2))</x:f>
        <x:v>3290.5146230332484</x:v>
      </x:c>
      <x:c r="I328" s="92" t="n">
        <x:f>C328</x:f>
        <x:v>2131.2614433263</x:v>
      </x:c>
      <x:c r="J328" s="92" t="n">
        <x:f>IF(H328="","",MAX(H328,I328)/MIN(H328,I328))</x:f>
        <x:v>1.5439281901978577</x:v>
      </x:c>
    </x:row>
    <x:row r="329" ht="15" hidden="0" customHeight="1">
      <x:c r="A329" s="92" t="n">
        <x:v>283.5</x:v>
      </x:c>
      <x:c r="B329" s="92" t="n">
        <x:f>SQRT('拟合与方案'!$B$7^2+('拟合与方案'!$C$7*(A329-'拟合与方案'!$D$7))^2)</x:f>
        <x:v>2114.0822809107044</x:v>
      </x:c>
      <x:c r="C329" s="92" t="n">
        <x:f>SQRT('拟合与方案'!$B$8^2+('拟合与方案'!$C$8*(A329-'拟合与方案'!$D$8))^2)</x:f>
        <x:v>2152.313139054561</x:v>
      </x:c>
      <x:c r="D329" s="92" t="n">
        <x:f>MAX(B329,C329)/MIN(B329,C329)</x:f>
        <x:v>1.0180839026413804</x:v>
      </x:c>
      <x:c r="E329" s="92" t="n">
        <x:f>IF(A329&lt;'拟合与方案'!$C$13,"",SQRT('拟合与方案'!$F$13^2+('拟合与方案'!$G$13*(A329-'拟合与方案'!$H$13))^2))</x:f>
        <x:v>2712.6193968968314</x:v>
      </x:c>
      <x:c r="F329" s="92" t="n">
        <x:f>C329</x:f>
        <x:v>2152.313139054561</x:v>
      </x:c>
      <x:c r="G329" s="92" t="n">
        <x:f>IF(E329="","",MAX(E329,F329)/MIN(E329,F329))</x:f>
        <x:v>1.260327481013471</x:v>
      </x:c>
      <x:c r="H329" s="92" t="n">
        <x:f>IF(A329&lt;'拟合与方案'!$C$15,"",SQRT('拟合与方案'!$F$15^2+('拟合与方案'!$G$15*(A329-'拟合与方案'!$H$15))^2))</x:f>
        <x:v>3324.2541366714345</x:v>
      </x:c>
      <x:c r="I329" s="92" t="n">
        <x:f>C329</x:f>
        <x:v>2152.313139054561</x:v>
      </x:c>
      <x:c r="J329" s="92" t="n">
        <x:f>IF(H329="","",MAX(H329,I329)/MIN(H329,I329))</x:f>
        <x:v>1.5445030169409586</x:v>
      </x:c>
    </x:row>
    <x:row r="330" ht="15" hidden="0" customHeight="1">
      <x:c r="A330" s="92" t="n">
        <x:v>284</x:v>
      </x:c>
      <x:c r="B330" s="92" t="n">
        <x:f>SQRT('拟合与方案'!$B$7^2+('拟合与方案'!$C$7*(A330-'拟合与方案'!$D$7))^2)</x:f>
        <x:v>2131.9958199082653</x:v>
      </x:c>
      <x:c r="C330" s="92" t="n">
        <x:f>SQRT('拟合与方案'!$B$8^2+('拟合与方案'!$C$8*(A330-'拟合与方案'!$D$8))^2)</x:f>
        <x:v>2173.3773488372935</x:v>
      </x:c>
      <x:c r="D330" s="92" t="n">
        <x:f>MAX(B330,C330)/MIN(B330,C330)</x:f>
        <x:v>1.0194097608178279</x:v>
      </x:c>
      <x:c r="E330" s="92" t="n">
        <x:f>IF(A330&lt;'拟合与方案'!$C$13,"",SQRT('拟合与方案'!$F$13^2+('拟合与方案'!$G$13*(A330-'拟合与方案'!$H$13))^2))</x:f>
        <x:v>2739.1950154924607</x:v>
      </x:c>
      <x:c r="F330" s="92" t="n">
        <x:f>C330</x:f>
        <x:v>2173.3773488372935</x:v>
      </x:c>
      <x:c r="G330" s="92" t="n">
        <x:f>IF(E330="","",MAX(E330,F330)/MIN(E330,F330))</x:f>
        <x:v>1.2603402795919754</x:v>
      </x:c>
      <x:c r="H330" s="92" t="n">
        <x:f>IF(A330&lt;'拟合与方案'!$C$15,"",SQRT('拟合与方案'!$F$15^2+('拟合与方案'!$G$15*(A330-'拟合与方案'!$H$15))^2))</x:f>
        <x:v>3358.002072967079</x:v>
      </x:c>
      <x:c r="I330" s="92" t="n">
        <x:f>C330</x:f>
        <x:v>2173.3773488372935</x:v>
      </x:c>
      <x:c r="J330" s="92" t="n">
        <x:f>IF(H330="","",MAX(H330,I330)/MIN(H330,I330))</x:f>
        <x:v>1.5450616869470606</x:v>
      </x:c>
    </x:row>
    <x:row r="331" ht="15" hidden="0" customHeight="1">
      <x:c r="A331" s="92" t="n">
        <x:v>284.5</x:v>
      </x:c>
      <x:c r="B331" s="92" t="n">
        <x:f>SQRT('拟合与方案'!$B$7^2+('拟合与方案'!$C$7*(A331-'拟合与方案'!$D$7))^2)</x:f>
        <x:v>2149.9412858504998</x:v>
      </x:c>
      <x:c r="C331" s="92" t="n">
        <x:f>SQRT('拟合与方案'!$B$8^2+('拟合与方案'!$C$8*(A331-'拟合与方案'!$D$8))^2)</x:f>
        <x:v>2194.4537123133136</x:v>
      </x:c>
      <x:c r="D331" s="92" t="n">
        <x:f>MAX(B331,C331)/MIN(B331,C331)</x:f>
        <x:v>1.0207040195728905</x:v>
      </x:c>
      <x:c r="E331" s="92" t="n">
        <x:f>IF(A331&lt;'拟合与方案'!$C$13,"",SQRT('拟合与方案'!$F$13^2+('拟合与方案'!$G$13*(A331-'拟合与方案'!$H$13))^2))</x:f>
        <x:v>2765.7856883256813</x:v>
      </x:c>
      <x:c r="F331" s="92" t="n">
        <x:f>C331</x:f>
        <x:v>2194.4537123133136</x:v>
      </x:c>
      <x:c r="G331" s="92" t="n">
        <x:f>IF(E331="","",MAX(E331,F331)/MIN(E331,F331))</x:f>
        <x:v>1.260352712297627</x:v>
      </x:c>
      <x:c r="H331" s="92" t="n">
        <x:f>IF(A331&lt;'拟合与方案'!$C$15,"",SQRT('拟合与方案'!$F$15^2+('拟合与方案'!$G$15*(A331-'拟合与方案'!$H$15))^2))</x:f>
        <x:v>3391.7581805042955</x:v>
      </x:c>
      <x:c r="I331" s="92" t="n">
        <x:f>C331</x:f>
        <x:v>2194.4537123133136</x:v>
      </x:c>
      <x:c r="J331" s="92" t="n">
        <x:f>IF(H331="","",MAX(H331,I331)/MIN(H331,I331))</x:f>
        <x:v>1.545604795158257</x:v>
      </x:c>
    </x:row>
    <x:row r="332" ht="15" hidden="0" customHeight="1">
      <x:c r="A332" s="92" t="n">
        <x:v>285</x:v>
      </x:c>
      <x:c r="B332" s="92" t="n">
        <x:f>SQRT('拟合与方案'!$B$7^2+('拟合与方案'!$C$7*(A332-'拟合与方案'!$D$7))^2)</x:f>
        <x:v>2167.917885888475</x:v>
      </x:c>
      <x:c r="C332" s="92" t="n">
        <x:f>SQRT('拟合与方案'!$B$8^2+('拟合与方案'!$C$8*(A332-'拟合与方案'!$D$8))^2)</x:f>
        <x:v>2215.5418826298173</x:v>
      </x:c>
      <x:c r="D332" s="92" t="n">
        <x:f>MAX(B332,C332)/MIN(B332,C332)</x:f>
        <x:v>1.0219676201997034</x:v>
      </x:c>
      <x:c r="E332" s="92" t="n">
        <x:f>IF(A332&lt;'拟合与方案'!$C$13,"",SQRT('拟合与方案'!$F$13^2+('拟合与方案'!$G$13*(A332-'拟合与方案'!$H$13))^2))</x:f>
        <x:v>2792.3909853324963</x:v>
      </x:c>
      <x:c r="F332" s="92" t="n">
        <x:f>C332</x:f>
        <x:v>2215.5418826298173</x:v>
      </x:c>
      <x:c r="G332" s="92" t="n">
        <x:f>IF(E332="","",MAX(E332,F332)/MIN(E332,F332))</x:f>
        <x:v>1.2603647925707309</x:v>
      </x:c>
      <x:c r="H332" s="92" t="n">
        <x:f>IF(A332&lt;'拟合与方案'!$C$15,"",SQRT('拟合与方案'!$F$15^2+('拟合与方案'!$G$15*(A332-'拟合与方案'!$H$15))^2))</x:f>
        <x:v>3425.5222177176097</x:v>
      </x:c>
      <x:c r="I332" s="92" t="n">
        <x:f>C332</x:f>
        <x:v>2215.5418826298173</x:v>
      </x:c>
      <x:c r="J332" s="92" t="n">
        <x:f>IF(H332="","",MAX(H332,I332)/MIN(H332,I332))</x:f>
        <x:v>1.5461329097744532</x:v>
      </x:c>
    </x:row>
    <x:row r="333" ht="15" hidden="0" customHeight="1">
      <x:c r="A333" s="92" t="n">
        <x:v>285.5</x:v>
      </x:c>
      <x:c r="B333" s="92" t="n">
        <x:f>SQRT('拟合与方案'!$B$7^2+('拟合与方案'!$C$7*(A333-'拟合与方案'!$D$7))^2)</x:f>
        <x:v>2185.924851900971</x:v>
      </x:c>
      <x:c r="C333" s="92" t="n">
        <x:f>SQRT('拟合与方案'!$B$8^2+('拟合与方案'!$C$8*(A333-'拟合与方案'!$D$8))^2)</x:f>
        <x:v>2236.641525824513</x:v>
      </x:c>
      <x:c r="D333" s="92" t="n">
        <x:f>MAX(B333,C333)/MIN(B333,C333)</x:f>
        <x:v>1.02320147185272</x:v>
      </x:c>
      <x:c r="E333" s="92" t="n">
        <x:f>IF(A333&lt;'拟合与方案'!$C$13,"",SQRT('拟合与方案'!$F$13^2+('拟合与方案'!$G$13*(A333-'拟合与方案'!$H$13))^2))</x:f>
        <x:v>2819.0104924522393</x:v>
      </x:c>
      <x:c r="F333" s="92" t="n">
        <x:f>C333</x:f>
        <x:v>2236.641525824513</x:v>
      </x:c>
      <x:c r="G333" s="92" t="n">
        <x:f>IF(E333="","",MAX(E333,F333)/MIN(E333,F333))</x:f>
        <x:v>1.2603765332547165</x:v>
      </x:c>
      <x:c r="H333" s="92" t="n">
        <x:f>IF(A333&lt;'拟合与方案'!$C$15,"",SQRT('拟合与方案'!$F$15^2+('拟合与方案'!$G$15*(A333-'拟合与方案'!$H$15))^2))</x:f>
        <x:v>3459.293952416979</x:v>
      </x:c>
      <x:c r="I333" s="92" t="n">
        <x:f>C333</x:f>
        <x:v>2236.641525824513</x:v>
      </x:c>
      <x:c r="J333" s="92" t="n">
        <x:f>IF(H333="","",MAX(H333,I333)/MIN(H333,I333))</x:f>
        <x:v>1.5466465736576849</x:v>
      </x:c>
    </x:row>
    <x:row r="334" ht="15" hidden="0" customHeight="1">
      <x:c r="A334" s="92" t="n">
        <x:v>286</x:v>
      </x:c>
      <x:c r="B334" s="92" t="n">
        <x:f>SQRT('拟合与方案'!$B$7^2+('拟合与方案'!$C$7*(A334-'拟合与方案'!$D$7))^2)</x:f>
        <x:v>2203.9614395932354</x:v>
      </x:c>
      <x:c r="C334" s="92" t="n">
        <x:f>SQRT('拟合与方案'!$B$8^2+('拟合与方案'!$C$8*(A334-'拟合与方案'!$D$8))^2)</x:f>
        <x:v>2257.7523202408333</x:v>
      </x:c>
      <x:c r="D334" s="92" t="n">
        <x:f>MAX(B334,C334)/MIN(B334,C334)</x:f>
        <x:v>1.0244064527088668</x:v>
      </x:c>
      <x:c r="E334" s="92" t="n">
        <x:f>IF(A334&lt;'拟合与方案'!$C$13,"",SQRT('拟合与方案'!$F$13^2+('拟合与方案'!$G$13*(A334-'拟合与方案'!$H$13))^2))</x:f>
        <x:v>2845.643810900453</x:v>
      </x:c>
      <x:c r="F334" s="92" t="n">
        <x:f>C334</x:f>
        <x:v>2257.7523202408333</x:v>
      </x:c>
      <x:c r="G334" s="92" t="n">
        <x:f>IF(E334="","",MAX(E334,F334)/MIN(E334,F334))</x:f>
        <x:v>1.2603879466268955</x:v>
      </x:c>
      <x:c r="H334" s="92" t="n">
        <x:f>IF(A334&lt;'拟合与方案'!$C$15,"",SQRT('拟合与方案'!$F$15^2+('拟合与方案'!$G$15*(A334-'拟合与方案'!$H$15))^2))</x:f>
        <x:v>3493.0731613398752</x:v>
      </x:c>
      <x:c r="I334" s="92" t="n">
        <x:f>C334</x:f>
        <x:v>2257.7523202408333</x:v>
      </x:c>
      <x:c r="J334" s="92" t="n">
        <x:f>IF(H334="","",MAX(H334,I334)/MIN(H334,I334))</x:f>
        <x:v>1.547146305652903</x:v>
      </x:c>
    </x:row>
    <x:row r="335" ht="15" hidden="0" customHeight="1">
      <x:c r="A335" s="92" t="n">
        <x:v>286.5</x:v>
      </x:c>
      <x:c r="B335" s="92" t="n">
        <x:f>SQRT('拟合与方案'!$B$7^2+('拟合与方案'!$C$7*(A335-'拟合与方案'!$D$7))^2)</x:f>
        <x:v>2222.0269276320573</x:v>
      </x:c>
      <x:c r="C335" s="92" t="n">
        <x:f>SQRT('拟合与方案'!$B$8^2+('拟合与方案'!$C$8*(A335-'拟合与方案'!$D$8))^2)</x:f>
        <x:v>2278.8739559742357</x:v>
      </x:c>
      <x:c r="D335" s="92" t="n">
        <x:f>MAX(B335,C335)/MIN(B335,C335)</x:f>
        <x:v>1.025583411089783</x:v>
      </x:c>
      <x:c r="E335" s="92" t="n">
        <x:f>IF(A335&lt;'拟合与方案'!$C$13,"",SQRT('拟合与方案'!$F$13^2+('拟合与方案'!$G$13*(A335-'拟合与方案'!$H$13))^2))</x:f>
        <x:v>2872.2905564804705</x:v>
      </x:c>
      <x:c r="F335" s="92" t="n">
        <x:f>C335</x:f>
        <x:v>2278.8739559742357</x:v>
      </x:c>
      <x:c r="G335" s="92" t="n">
        <x:f>IF(E335="","",MAX(E335,F335)/MIN(E335,F335))</x:f>
        <x:v>1.2603990444274242</x:v>
      </x:c>
      <x:c r="H335" s="92" t="n">
        <x:f>IF(A335&lt;'拟合与方案'!$C$15,"",SQRT('拟合与方案'!$F$15^2+('拟合与方案'!$G$15*(A335-'拟合与方案'!$H$15))^2))</x:f>
        <x:v>3526.859629728659</x:v>
      </x:c>
      <x:c r="I335" s="92" t="n">
        <x:f>C335</x:f>
        <x:v>2278.8739559742357</x:v>
      </x:c>
      <x:c r="J335" s="92" t="n">
        <x:f>IF(H335="","",MAX(H335,I335)/MIN(H335,I335))</x:f>
        <x:v>1.5476326018307143</x:v>
      </x:c>
    </x:row>
    <x:row r="336" ht="15" hidden="0" customHeight="1">
      <x:c r="A336" s="92" t="n">
        <x:v>287</x:v>
      </x:c>
      <x:c r="B336" s="92" t="n">
        <x:f>SQRT('拟合与方案'!$B$7^2+('拟合与方案'!$C$7*(A336-'拟合与方案'!$D$7))^2)</x:f>
        <x:v>2240.1206168156455</x:v>
      </x:c>
      <x:c r="C336" s="92" t="n">
        <x:f>SQRT('拟合与方案'!$B$8^2+('拟合与方案'!$C$8*(A336-'拟合与方案'!$D$8))^2)</x:f>
        <x:v>2300.006134347687</x:v>
      </x:c>
      <x:c r="D336" s="92" t="n">
        <x:f>MAX(B336,C336)/MIN(B336,C336)</x:f>
        <x:v>1.0267331665458128</x:v>
      </x:c>
      <x:c r="E336" s="92" t="n">
        <x:f>IF(A336&lt;'拟合与方案'!$C$13,"",SQRT('拟合与方案'!$F$13^2+('拟合与方案'!$G$13*(A336-'拟合与方案'!$H$13))^2))</x:f>
        <x:v>2898.950358931372</x:v>
      </x:c>
      <x:c r="F336" s="92" t="n">
        <x:f>C336</x:f>
        <x:v>2300.006134347687</x:v>
      </x:c>
      <x:c r="G336" s="92" t="n">
        <x:f>IF(E336="","",MAX(E336,F336)/MIN(E336,F336))</x:f>
        <x:v>1.2604098378866082</x:v>
      </x:c>
      <x:c r="H336" s="92" t="n">
        <x:f>IF(A336&lt;'拟合与方案'!$C$15,"",SQRT('拟合与方案'!$F$15^2+('拟合与方案'!$G$15*(A336-'拟合与方案'!$H$15))^2))</x:f>
        <x:v>3560.653150931602</x:v>
      </x:c>
      <x:c r="I336" s="92" t="n">
        <x:f>C336</x:f>
        <x:v>2300.006134347687</x:v>
      </x:c>
      <x:c r="J336" s="92" t="n">
        <x:f>IF(H336="","",MAX(H336,I336)/MIN(H336,I336))</x:f>
        <x:v>1.5481059366571872</x:v>
      </x:c>
    </x:row>
    <x:row r="337" ht="15" hidden="0" customHeight="1">
      <x:c r="A337" s="92" t="n">
        <x:v>287.5</x:v>
      </x:c>
      <x:c r="B337" s="92" t="n">
        <x:f>SQRT('拟合与方案'!$B$7^2+('拟合与方案'!$C$7*(A337-'拟合与方案'!$D$7))^2)</x:f>
        <x:v>2258.241829276822</x:v>
      </x:c>
      <x:c r="C337" s="92" t="n">
        <x:f>SQRT('拟合与方案'!$B$8^2+('拟合与方案'!$C$8*(A337-'拟合与方案'!$D$8))^2)</x:f>
        <x:v>2321.148567414601</x:v>
      </x:c>
      <x:c r="D337" s="92" t="n">
        <x:f>MAX(B337,C337)/MIN(B337,C337)</x:f>
        <x:v>1.027856510902521</x:v>
      </x:c>
      <x:c r="E337" s="92" t="n">
        <x:f>IF(A337&lt;'拟合与方案'!$C$13,"",SQRT('拟合与方案'!$F$13^2+('拟合与方案'!$G$13*(A337-'拟合与方案'!$H$13))^2))</x:f>
        <x:v>2925.622861310115</x:v>
      </x:c>
      <x:c r="F337" s="92" t="n">
        <x:f>C337</x:f>
        <x:v>2321.148567414601</x:v>
      </x:c>
      <x:c r="G337" s="92" t="n">
        <x:f>IF(E337="","",MAX(E337,F337)/MIN(E337,F337))</x:f>
        <x:v>1.2604203377506353</x:v>
      </x:c>
      <x:c r="H337" s="92" t="n">
        <x:f>IF(A337&lt;'拟合与方案'!$C$15,"",SQRT('拟合与方案'!$F$15^2+('拟合与方案'!$G$15*(A337-'拟合与方案'!$H$15))^2))</x:f>
        <x:v>3594.4535260260454</x:v>
      </x:c>
      <x:c r="I337" s="92" t="n">
        <x:f>C337</x:f>
        <x:v>2321.148567414601</x:v>
      </x:c>
      <x:c r="J337" s="92" t="n">
        <x:f>IF(H337="","",MAX(H337,I337)/MIN(H337,I337))</x:f>
        <x:v>1.5485667640954617</x:v>
      </x:c>
    </x:row>
    <x:row r="338" ht="15" hidden="0" customHeight="1">
      <x:c r="A338" s="92" t="n">
        <x:v>288</x:v>
      </x:c>
      <x:c r="B338" s="92" t="n">
        <x:f>SQRT('拟合与方案'!$B$7^2+('拟合与方案'!$C$7*(A338-'拟合与方案'!$D$7))^2)</x:f>
        <x:v>2276.3899077181445</x:v>
      </x:c>
      <x:c r="C338" s="92" t="n">
        <x:f>SQRT('拟合与方案'!$B$8^2+('拟合与方案'!$C$8*(A338-'拟合与方案'!$D$8))^2)</x:f>
        <x:v>2342.3009774875754</x:v>
      </x:c>
      <x:c r="D338" s="92" t="n">
        <x:f>MAX(B338,C338)/MIN(B338,C338)</x:f>
        <x:v>1.0289542092705464</x:v>
      </x:c>
      <x:c r="E338" s="92" t="n">
        <x:f>IF(A338&lt;'拟合与方案'!$C$13,"",SQRT('拟合与方案'!$F$13^2+('拟合与方案'!$G$13*(A338-'拟合与方案'!$H$13))^2))</x:f>
        <x:v>2952.3077194057933</x:v>
      </x:c>
      <x:c r="F338" s="92" t="n">
        <x:f>C338</x:f>
        <x:v>2342.3009774875754</x:v>
      </x:c>
      <x:c r="G338" s="92" t="n">
        <x:f>IF(E338="","",MAX(E338,F338)/MIN(E338,F338))</x:f>
        <x:v>1.2604305543058476</x:v>
      </x:c>
      <x:c r="H338" s="92" t="n">
        <x:f>IF(A338&lt;'拟合与方案'!$C$15,"",SQRT('拟合与方案'!$F$15^2+('拟合与方案'!$G$15*(A338-'拟合与方案'!$H$15))^2))</x:f>
        <x:v>3628.26056346227</x:v>
      </x:c>
      <x:c r="I338" s="92" t="n">
        <x:f>C338</x:f>
        <x:v>2342.3009774875754</x:v>
      </x:c>
      <x:c r="J338" s="92" t="n">
        <x:f>IF(H338="","",MAX(H338,I338)/MIN(H338,I338))</x:f>
        <x:v>1.5490155186435752</x:v>
      </x:c>
    </x:row>
    <x:row r="339" ht="15" hidden="0" customHeight="1">
      <x:c r="A339" s="92" t="n">
        <x:v>288.5</x:v>
      </x:c>
      <x:c r="B339" s="92" t="n">
        <x:f>SQRT('拟合与方案'!$B$7^2+('拟合与方案'!$C$7*(A339-'拟合与方案'!$D$7))^2)</x:f>
        <x:v>2294.564214677591</x:v>
      </x:c>
      <x:c r="C339" s="92" t="n">
        <x:f>SQRT('拟合与方案'!$B$8^2+('拟合与方案'!$C$8*(A339-'拟合与方案'!$D$8))^2)</x:f>
        <x:v>2363.4630966914174</x:v>
      </x:c>
      <x:c r="D339" s="92" t="n">
        <x:f>MAX(B339,C339)/MIN(B339,C339)</x:f>
        <x:v>1.030027001019672</x:v>
      </x:c>
      <x:c r="E339" s="92" t="n">
        <x:f>IF(A339&lt;'拟合与方案'!$C$13,"",SQRT('拟合与方案'!$F$13^2+('拟合与方案'!$G$13*(A339-'拟合与方案'!$H$13))^2))</x:f>
        <x:v>2979.0046011841423</x:v>
      </x:c>
      <x:c r="F339" s="92" t="n">
        <x:f>C339</x:f>
        <x:v>2363.4630966914174</x:v>
      </x:c>
      <x:c r="G339" s="92" t="n">
        <x:f>IF(E339="","",MAX(E339,F339)/MIN(E339,F339))</x:f>
        <x:v>1.2604404974016366</x:v>
      </x:c>
      <x:c r="H339" s="92" t="n">
        <x:f>IF(A339&lt;'拟合与方案'!$C$15,"",SQRT('拟合与方案'!$F$15^2+('拟合与方案'!$G$15*(A339-'拟合与方案'!$H$15))^2))</x:f>
        <x:v>3662.0740787267778</x:v>
      </x:c>
      <x:c r="I339" s="92" t="n">
        <x:f>C339</x:f>
        <x:v>2363.4630966914174</x:v>
      </x:c>
      <x:c r="J339" s="92" t="n">
        <x:f>IF(H339="","",MAX(H339,I339)/MIN(H339,I339))</x:f>
        <x:v>1.5494526163125921</x:v>
      </x:c>
    </x:row>
    <x:row r="340" ht="15" hidden="0" customHeight="1">
      <x:c r="A340" s="92" t="n">
        <x:v>289</x:v>
      </x:c>
      <x:c r="B340" s="92" t="n">
        <x:f>SQRT('拟合与方案'!$B$7^2+('拟合与方案'!$C$7*(A340-'拟合与方案'!$D$7))^2)</x:f>
        <x:v>2312.764131823526</x:v>
      </x:c>
      <x:c r="C340" s="92" t="n">
        <x:f>SQRT('拟合与方案'!$B$8^2+('拟合与方案'!$C$8*(A340-'拟合与方案'!$D$8))^2)</x:f>
        <x:v>2384.634666539017</x:v>
      </x:c>
      <x:c r="D340" s="92" t="n">
        <x:f>MAX(B340,C340)/MIN(B340,C340)</x:f>
        <x:v>1.0310756007180135</x:v>
      </x:c>
      <x:c r="E340" s="92" t="n">
        <x:f>IF(A340&lt;'拟合与方案'!$C$13,"",SQRT('拟合与方案'!$F$13^2+('拟合与方案'!$G$13*(A340-'拟合与方案'!$H$13))^2))</x:f>
        <x:v>3005.713186260485</x:v>
      </x:c>
      <x:c r="F340" s="92" t="n">
        <x:f>C340</x:f>
        <x:v>2384.634666539017</x:v>
      </x:c>
      <x:c r="G340" s="92" t="n">
        <x:f>IF(E340="","",MAX(E340,F340)/MIN(E340,F340))</x:f>
        <x:v>1.2604501764720555</x:v>
      </x:c>
      <x:c r="H340" s="92" t="n">
        <x:f>IF(A340&lt;'拟合与方案'!$C$15,"",SQRT('拟合与方案'!$F$15^2+('拟合与方案'!$G$15*(A340-'拟合与方案'!$H$15))^2))</x:f>
        <x:v>3695.8938940237667</x:v>
      </x:c>
      <x:c r="I340" s="92" t="n">
        <x:f>C340</x:f>
        <x:v>2384.634666539017</x:v>
      </x:c>
      <x:c r="J340" s="92" t="n">
        <x:f>IF(H340="","",MAX(H340,I340)/MIN(H340,I340))</x:f>
        <x:v>1.5498784555488618</x:v>
      </x:c>
    </x:row>
    <x:row r="341" ht="15" hidden="0" customHeight="1">
      <x:c r="A341" s="92" t="n">
        <x:v>289.5</x:v>
      </x:c>
      <x:c r="B341" s="92" t="n">
        <x:f>SQRT('拟合与方案'!$B$7^2+('拟合与方案'!$C$7*(A341-'拟合与方案'!$D$7))^2)</x:f>
        <x:v>2330.989059277701</x:v>
      </x:c>
      <x:c r="C341" s="92" t="n">
        <x:f>SQRT('拟合与方案'!$B$8^2+('拟合与方案'!$C$8*(A341-'拟合与方案'!$D$8))^2)</x:f>
        <x:v>2405.8154375287495</x:v>
      </x:c>
      <x:c r="D341" s="92" t="n">
        <x:f>MAX(B341,C341)/MIN(B341,C341)</x:f>
        <x:v>1.0321006990372725</x:v>
      </x:c>
      <x:c r="E341" s="92" t="n">
        <x:f>IF(A341&lt;'拟合与方案'!$C$13,"",SQRT('拟合与方案'!$F$13^2+('拟合与方案'!$G$13*(A341-'拟合与方案'!$H$13))^2))</x:f>
        <x:v>3032.433165399466</x:v>
      </x:c>
      <x:c r="F341" s="92" t="n">
        <x:f>C341</x:f>
        <x:v>2405.8154375287495</x:v>
      </x:c>
      <x:c r="G341" s="92" t="n">
        <x:f>IF(E341="","",MAX(E341,F341)/MIN(E341,F341))</x:f>
        <x:v>1.260459600556216</x:v>
      </x:c>
      <x:c r="H341" s="92" t="n">
        <x:f>IF(A341&lt;'拟合与方案'!$C$15,"",SQRT('拟合与方案'!$F$15^2+('拟合与方案'!$G$15*(A341-'拟合与方案'!$H$15))^2))</x:f>
        <x:v>3729.7198379736647</x:v>
      </x:c>
      <x:c r="I341" s="92" t="n">
        <x:f>C341</x:f>
        <x:v>2405.8154375287495</x:v>
      </x:c>
      <x:c r="J341" s="92" t="n">
        <x:f>IF(H341="","",MAX(H341,I341)/MIN(H341,I341))</x:f>
        <x:v>1.5502934181039374</x:v>
      </x:c>
    </x:row>
    <x:row r="342" ht="15" hidden="0" customHeight="1">
      <x:c r="A342" s="92" t="n">
        <x:v>290</x:v>
      </x:c>
      <x:c r="B342" s="92" t="n">
        <x:f>SQRT('拟合与方案'!$B$7^2+('拟合与方案'!$C$7*(A342-'拟合与方案'!$D$7))^2)</x:f>
        <x:v>2349.2384149650984</x:v>
      </x:c>
      <x:c r="C342" s="92" t="n">
        <x:f>SQRT('拟合与方案'!$B$8^2+('拟合与方案'!$C$8*(A342-'拟合与方案'!$D$8))^2)</x:f>
        <x:v>2427.0051687621476</x:v>
      </x:c>
      <x:c r="D342" s="92" t="n">
        <x:f>MAX(B342,C342)/MIN(B342,C342)</x:f>
        <x:v>1.0331029636250029</x:v>
      </x:c>
      <x:c r="E342" s="92" t="n">
        <x:f>IF(A342&lt;'拟合与方案'!$C$13,"",SQRT('拟合与方案'!$F$13^2+('拟合与方案'!$G$13*(A342-'拟合与方案'!$H$13))^2))</x:f>
        <x:v>3059.1642400400297</x:v>
      </x:c>
      <x:c r="F342" s="92" t="n">
        <x:f>C342</x:f>
        <x:v>2427.0051687621476</x:v>
      </x:c>
      <x:c r="G342" s="92" t="n">
        <x:f>IF(E342="","",MAX(E342,F342)/MIN(E342,F342))</x:f>
        <x:v>1.2604687783175608</x:v>
      </x:c>
      <x:c r="H342" s="92" t="n">
        <x:f>IF(A342&lt;'拟合与方案'!$C$15,"",SQRT('拟合与方案'!$F$15^2+('拟合与方案'!$G$15*(A342-'拟合与方案'!$H$15))^2))</x:f>
        <x:v>3763.551745327675</x:v>
      </x:c>
      <x:c r="I342" s="92" t="n">
        <x:f>C342</x:f>
        <x:v>2427.0051687621476</x:v>
      </x:c>
      <x:c r="J342" s="92" t="n">
        <x:f>IF(H342="","",MAX(H342,I342)/MIN(H342,I342))</x:f>
        <x:v>1.5506978698554688</x:v>
      </x:c>
    </x:row>
    <x:row r="343" ht="15" hidden="0" customHeight="1">
      <x:c r="A343" s="92" t="n">
        <x:v>290.5</x:v>
      </x:c>
      <x:c r="B343" s="92" t="n">
        <x:f>SQRT('拟合与方案'!$B$7^2+('拟合与方案'!$C$7*(A343-'拟合与方案'!$D$7))^2)</x:f>
        <x:v>2367.5116339894903</x:v>
      </x:c>
      <x:c r="C343" s="92" t="n">
        <x:f>SQRT('拟合与方案'!$B$8^2+('拟合与方案'!$C$8*(A343-'拟合与方案'!$D$8))^2)</x:f>
        <x:v>2448.2036275806895</x:v>
      </x:c>
      <x:c r="D343" s="92" t="n">
        <x:f>MAX(B343,C343)/MIN(B343,C343)</x:f>
        <x:v>1.0340830399448662</x:v>
      </x:c>
      <x:c r="E343" s="92" t="n">
        <x:f>IF(A343&lt;'拟合与方案'!$C$13,"",SQRT('拟合与方案'!$F$13^2+('拟合与方案'!$G$13*(A343-'拟合与方案'!$H$13))^2))</x:f>
        <x:v>3085.906121844178</x:v>
      </x:c>
      <x:c r="F343" s="92" t="n">
        <x:f>C343</x:f>
        <x:v>2448.2036275806895</x:v>
      </x:c>
      <x:c r="G343" s="92" t="n">
        <x:f>IF(E343="","",MAX(E343,F343)/MIN(E343,F343))</x:f>
        <x:v>1.2604777180620654</x:v>
      </x:c>
      <x:c r="H343" s="92" t="n">
        <x:f>IF(A343&lt;'拟合与方案'!$C$15,"",SQRT('拟合与方案'!$F$15^2+('拟合与方案'!$G$15*(A343-'拟合与方案'!$H$15))^2))</x:f>
        <x:v>3797.3894566973545</x:v>
      </x:c>
      <x:c r="I343" s="92" t="n">
        <x:f>C343</x:f>
        <x:v>2448.2036275806895</x:v>
      </x:c>
      <x:c r="J343" s="92" t="n">
        <x:f>IF(H343="","",MAX(H343,I343)/MIN(H343,I343))</x:f>
        <x:v>1.5510921615821345</x:v>
      </x:c>
    </x:row>
    <x:row r="344" ht="15" hidden="0" customHeight="1">
      <x:c r="A344" s="92" t="n">
        <x:v>291</x:v>
      </x:c>
      <x:c r="B344" s="92" t="n">
        <x:f>SQRT('拟合与方案'!$B$7^2+('拟合与方案'!$C$7*(A344-'拟合与方案'!$D$7))^2)</x:f>
        <x:v>2385.808168033616</x:v>
      </x:c>
      <x:c r="C344" s="92" t="n">
        <x:f>SQRT('拟合与方案'!$B$8^2+('拟合与方案'!$C$8*(A344-'拟合与方案'!$D$8))^2)</x:f>
        <x:v>2469.4105892206035</x:v>
      </x:c>
      <x:c r="D344" s="92" t="n">
        <x:f>MAX(B344,C344)/MIN(B344,C344)</x:f>
        <x:v>1.0350415520858463</x:v>
      </x:c>
      <x:c r="E344" s="92" t="n">
        <x:f>IF(A344&lt;'拟合与方案'!$C$13,"",SQRT('拟合与方案'!$F$13^2+('拟合与方案'!$G$13*(A344-'拟合与方案'!$H$13))^2))</x:f>
        <x:v>3112.658532268141</x:v>
      </x:c>
      <x:c r="F344" s="92" t="n">
        <x:f>C344</x:f>
        <x:v>2469.4105892206035</x:v>
      </x:c>
      <x:c r="G344" s="92" t="n">
        <x:f>IF(E344="","",MAX(E344,F344)/MIN(E344,F344))</x:f>
        <x:v>1.2604864277554424</x:v>
      </x:c>
      <x:c r="H344" s="92" t="n">
        <x:f>IF(A344&lt;'拟合与方案'!$C$15,"",SQRT('拟合与方案'!$F$15^2+('拟合与方案'!$G$15*(A344-'拟合与方案'!$H$15))^2))</x:f>
        <x:v>3831.232818298312</x:v>
      </x:c>
      <x:c r="I344" s="92" t="n">
        <x:f>C344</x:f>
        <x:v>2469.4105892206035</x:v>
      </x:c>
      <x:c r="J344" s="92" t="n">
        <x:f>IF(H344="","",MAX(H344,I344)/MIN(H344,I344))</x:f>
        <x:v>1.5514766296954803</x:v>
      </x:c>
    </x:row>
    <x:row r="345" ht="15" hidden="0" customHeight="1">
      <x:c r="A345" s="92" t="n">
        <x:v>291.5</x:v>
      </x:c>
      <x:c r="B345" s="92" t="n">
        <x:f>SQRT('拟合与方案'!$B$7^2+('拟合与方案'!$C$7*(A345-'拟合与方案'!$D$7))^2)</x:f>
        <x:v>2404.1274847829354</x:v>
      </x:c>
      <x:c r="C345" s="92" t="n">
        <x:f>SQRT('拟合与方案'!$B$8^2+('拟合与方案'!$C$8*(A345-'拟合与方案'!$D$8))^2)</x:f>
        <x:v>2490.625836484674</x:v>
      </x:c>
      <x:c r="D345" s="92" t="n">
        <x:f>MAX(B345,C345)/MIN(B345,C345)</x:f>
        <x:v>1.0359791035414032</x:v>
      </x:c>
      <x:c r="E345" s="92" t="n">
        <x:f>IF(A345&lt;'拟合与方案'!$C$13,"",SQRT('拟合与方案'!$F$13^2+('拟合与方案'!$G$13*(A345-'拟合与方案'!$H$13))^2))</x:f>
        <x:v>3139.4212021547123</x:v>
      </x:c>
      <x:c r="F345" s="92" t="n">
        <x:f>C345</x:f>
        <x:v>2490.625836484674</x:v>
      </x:c>
      <x:c r="G345" s="92" t="n">
        <x:f>IF(E345="","",MAX(E345,F345)/MIN(E345,F345))</x:f>
        <x:v>1.2604949150394116</x:v>
      </x:c>
      <x:c r="H345" s="92" t="n">
        <x:f>IF(A345&lt;'拟合与方案'!$C$15,"",SQRT('拟合与方案'!$F$15^2+('拟合与方案'!$G$15*(A345-'拟合与方案'!$H$15))^2))</x:f>
        <x:v>3865.0816817071764</x:v>
      </x:c>
      <x:c r="I345" s="92" t="n">
        <x:f>C345</x:f>
        <x:v>2490.625836484674</x:v>
      </x:c>
      <x:c r="J345" s="92" t="n">
        <x:f>IF(H345="","",MAX(H345,I345)/MIN(H345,I345))</x:f>
        <x:v>1.5518515969313322</x:v>
      </x:c>
    </x:row>
    <x:row r="346" ht="15" hidden="0" customHeight="1">
      <x:c r="A346" s="92" t="n">
        <x:v>292</x:v>
      </x:c>
      <x:c r="B346" s="92" t="n">
        <x:f>SQRT('拟合与方案'!$B$7^2+('拟合与方案'!$C$7*(A346-'拟合与方案'!$D$7))^2)</x:f>
        <x:v>2422.469067371966</x:v>
      </x:c>
      <x:c r="C346" s="92" t="n">
        <x:f>SQRT('拟合与方案'!$B$8^2+('拟合与方案'!$C$8*(A346-'拟合与方案'!$D$8))^2)</x:f>
        <x:v>2511.8491594300904</x:v>
      </x:c>
      <x:c r="D346" s="92" t="n">
        <x:f>MAX(B346,C346)/MIN(B346,C346)</x:f>
        <x:v>1.036896277959532</x:v>
      </x:c>
      <x:c r="E346" s="92" t="n">
        <x:f>IF(A346&lt;'拟合与方案'!$C$13,"",SQRT('拟合与方案'!$F$13^2+('拟合与方案'!$G$13*(A346-'拟合与方案'!$H$13))^2))</x:f>
        <x:v>3166.193871345536</x:v>
      </x:c>
      <x:c r="F346" s="92" t="n">
        <x:f>C346</x:f>
        <x:v>2511.8491594300904</x:v>
      </x:c>
      <x:c r="G346" s="92" t="n">
        <x:f>IF(E346="","",MAX(E346,F346)/MIN(E346,F346))</x:f>
        <x:v>1.2605031872470833</x:v>
      </x:c>
      <x:c r="H346" s="92" t="n">
        <x:f>IF(A346&lt;'拟合与方案'!$C$15,"",SQRT('拟合与方案'!$F$15^2+('拟合与方案'!$G$15*(A346-'拟合与方案'!$H$15))^2))</x:f>
        <x:v>3898.9359036310498</x:v>
      </x:c>
      <x:c r="I346" s="92" t="n">
        <x:f>C346</x:f>
        <x:v>2511.8491594300904</x:v>
      </x:c>
      <x:c r="J346" s="92" t="n">
        <x:f>IF(H346="","",MAX(H346,I346)/MIN(H346,I346))</x:f>
        <x:v>1.5522173730032711</x:v>
      </x:c>
    </x:row>
    <x:row r="347" ht="15" hidden="0" customHeight="1">
      <x:c r="A347" s="92" t="n">
        <x:v>292.5</x:v>
      </x:c>
      <x:c r="B347" s="92" t="n">
        <x:f>SQRT('拟合与方案'!$B$7^2+('拟合与方案'!$C$7*(A347-'拟合与方案'!$D$7))^2)</x:f>
        <x:v>2440.8324138522403</x:v>
      </x:c>
      <x:c r="C347" s="92" t="n">
        <x:f>SQRT('拟合与方案'!$B$8^2+('拟合与方案'!$C$8*(A347-'拟合与方案'!$D$8))^2)</x:f>
        <x:v>2533.08035507144</x:v>
      </x:c>
      <x:c r="D347" s="92" t="n">
        <x:f>MAX(B347,C347)/MIN(B347,C347)</x:f>
        <x:v>1.0377936398646925</x:v>
      </x:c>
      <x:c r="E347" s="92" t="n">
        <x:f>IF(A347&lt;'拟合与方案'!$C$13,"",SQRT('拟合与方案'!$F$13^2+('拟合与方案'!$G$13*(A347-'拟合与方案'!$H$13))^2))</x:f>
        <x:v>3192.976288312227</x:v>
      </x:c>
      <x:c r="F347" s="92" t="n">
        <x:f>C347</x:f>
        <x:v>2533.08035507144</x:v>
      </x:c>
      <x:c r="G347" s="92" t="n">
        <x:f>IF(E347="","",MAX(E347,F347)/MIN(E347,F347))</x:f>
        <x:v>1.2605112514175163</x:v>
      </x:c>
      <x:c r="H347" s="92" t="n">
        <x:f>IF(A347&lt;'拟合与方案'!$C$15,"",SQRT('拟合与方案'!$F$15^2+('拟合与方案'!$G$15*(A347-'拟合与方案'!$H$15))^2))</x:f>
        <x:v>3932.7953456887026</x:v>
      </x:c>
      <x:c r="I347" s="92" t="n">
        <x:f>C347</x:f>
        <x:v>2533.08035507144</x:v>
      </x:c>
      <x:c r="J347" s="92" t="n">
        <x:f>IF(H347="","",MAX(H347,I347)/MIN(H347,I347))</x:f>
        <x:v>1.5525742552204929</x:v>
      </x:c>
    </x:row>
    <x:row r="348" ht="15" hidden="0" customHeight="1">
      <x:c r="A348" s="92" t="n">
        <x:v>293</x:v>
      </x:c>
      <x:c r="B348" s="92" t="n">
        <x:f>SQRT('拟合与方案'!$B$7^2+('拟合与方案'!$C$7*(A348-'拟合与方案'!$D$7))^2)</x:f>
        <x:v>2459.2170366809796</x:v>
      </x:c>
      <x:c r="C348" s="92" t="n">
        <x:f>SQRT('拟合与方案'!$B$8^2+('拟合与方案'!$C$8*(A348-'拟合与方案'!$D$8))^2)</x:f>
        <x:v>2554.319227098013</x:v>
      </x:c>
      <x:c r="D348" s="92" t="n">
        <x:f>MAX(B348,C348)/MIN(B348,C348)</x:f>
        <x:v>1.0386717353525599</x:v>
      </x:c>
      <x:c r="E348" s="92" t="n">
        <x:f>IF(A348&lt;'拟合与方案'!$C$13,"",SQRT('拟合与方案'!$F$13^2+('拟合与方案'!$G$13*(A348-'拟合与方案'!$H$13))^2))</x:f>
        <x:v>3219.7682098052996</x:v>
      </x:c>
      <x:c r="F348" s="92" t="n">
        <x:f>C348</x:f>
        <x:v>2554.319227098013</x:v>
      </x:c>
      <x:c r="G348" s="92" t="n">
        <x:f>IF(E348="","",MAX(E348,F348)/MIN(E348,F348))</x:f>
        <x:v>1.2605191143094945</x:v>
      </x:c>
      <x:c r="H348" s="92" t="n">
        <x:f>IF(A348&lt;'拟合与方案'!$C$15,"",SQRT('拟合与方案'!$F$15^2+('拟合与方案'!$G$15*(A348-'拟合与方案'!$H$15))^2))</x:f>
        <x:v>3966.6598742028195</x:v>
      </x:c>
      <x:c r="I348" s="92" t="n">
        <x:f>C348</x:f>
        <x:v>2554.319227098013</x:v>
      </x:c>
      <x:c r="J348" s="92" t="n">
        <x:f>IF(H348="","",MAX(H348,I348)/MIN(H348,I348))</x:f>
        <x:v>1.5529225290722102</x:v>
      </x:c>
    </x:row>
    <x:row r="349" ht="15" hidden="0" customHeight="1">
      <x:c r="A349" s="92" t="n">
        <x:v>293.5</x:v>
      </x:c>
      <x:c r="B349" s="92" t="n">
        <x:f>SQRT('拟合与方案'!$B$7^2+('拟合与方案'!$C$7*(A349-'拟合与方案'!$D$7))^2)</x:f>
        <x:v>2477.622462229602</x:v>
      </x:c>
      <x:c r="C349" s="92" t="n">
        <x:f>SQRT('拟合与方案'!$B$8^2+('拟合与方案'!$C$8*(A349-'拟合与方案'!$D$8))^2)</x:f>
        <x:v>2575.5655856046183</x:v>
      </x:c>
      <x:c r="D349" s="92" t="n">
        <x:f>MAX(B349,C349)/MIN(B349,C349)</x:f>
        <x:v>1.0395310927585302</x:v>
      </x:c>
      <x:c r="E349" s="92" t="n">
        <x:f>IF(A349&lt;'拟合与方案'!$C$13,"",SQRT('拟合与方案'!$F$13^2+('拟合与方案'!$G$13*(A349-'拟合与方案'!$H$13))^2))</x:f>
        <x:v>3246.5694005198984</x:v>
      </x:c>
      <x:c r="F349" s="92" t="n">
        <x:f>C349</x:f>
        <x:v>2575.5655856046183</x:v>
      </x:c>
      <x:c r="G349" s="92" t="n">
        <x:f>IF(E349="","",MAX(E349,F349)/MIN(E349,F349))</x:f>
        <x:v>1.2605267824145743</x:v>
      </x:c>
      <x:c r="H349" s="92" t="n">
        <x:f>IF(A349&lt;'拟合与方案'!$C$15,"",SQRT('拟合与方案'!$F$15^2+('拟合与方案'!$G$15*(A349-'拟合与方案'!$H$15))^2))</x:f>
        <x:v>4000.5293600026594</x:v>
      </x:c>
      <x:c r="I349" s="92" t="n">
        <x:f>C349</x:f>
        <x:v>2575.5655856046183</x:v>
      </x:c>
      <x:c r="J349" s="92" t="n">
        <x:f>IF(H349="","",MAX(H349,I349)/MIN(H349,I349))</x:f>
        <x:v>1.5532624687806305</x:v>
      </x:c>
    </x:row>
    <x:row r="350" ht="15" hidden="0" customHeight="1">
      <x:c r="A350" s="92" t="n">
        <x:v>294</x:v>
      </x:c>
      <x:c r="B350" s="92" t="n">
        <x:f>SQRT('拟合与方案'!$B$7^2+('拟合与方案'!$C$7*(A350-'拟合与方案'!$D$7))^2)</x:f>
        <x:v>2496.0482303112344</x:v>
      </x:c>
      <x:c r="C350" s="92" t="n">
        <x:f>SQRT('拟合与方案'!$B$8^2+('拟合与方案'!$C$8*(A350-'拟合与方案'!$D$8))^2)</x:f>
        <x:v>2596.8192468351867</x:v>
      </x:c>
      <x:c r="D350" s="92" t="n">
        <x:f>MAX(B350,C350)/MIN(B350,C350)</x:f>
        <x:v>1.0403722233009043</x:v>
      </x:c>
      <x:c r="E350" s="92" t="n">
        <x:f>IF(A350&lt;'拟合与方案'!$C$13,"",SQRT('拟合与方案'!$F$13^2+('拟合与方案'!$G$13*(A350-'拟合与方案'!$H$13))^2))</x:f>
        <x:v>3273.379632777421</x:v>
      </x:c>
      <x:c r="F350" s="92" t="n">
        <x:f>C350</x:f>
        <x:v>2596.8192468351867</x:v>
      </x:c>
      <x:c r="G350" s="92" t="n">
        <x:f>IF(E350="","",MAX(E350,F350)/MIN(E350,F350))</x:f>
        <x:v>1.2605342619694369</x:v>
      </x:c>
      <x:c r="H350" s="92" t="n">
        <x:f>IF(A350&lt;'拟合与方案'!$C$15,"",SQRT('拟合与方案'!$F$15^2+('拟合与方案'!$G$15*(A350-'拟合与方案'!$H$15))^2))</x:f>
        <x:v>4034.4036782365247</x:v>
      </x:c>
      <x:c r="I350" s="92" t="n">
        <x:f>C350</x:f>
        <x:v>2596.8192468351867</x:v>
      </x:c>
      <x:c r="J350" s="92" t="n">
        <x:f>IF(H350="","",MAX(H350,I350)/MIN(H350,I350))</x:f>
        <x:v>1.5535943378243828</x:v>
      </x:c>
    </x:row>
    <x:row r="351" ht="15" hidden="0" customHeight="1">
      <x:c r="A351" s="92" t="n">
        <x:v>294.5</x:v>
      </x:c>
      <x:c r="B351" s="92" t="n">
        <x:f>SQRT('拟合与方案'!$B$7^2+('拟合与方案'!$C$7*(A351-'拟合与方案'!$D$7))^2)</x:f>
        <x:v>2514.4938937264274</x:v>
      </x:c>
      <x:c r="C351" s="92" t="n">
        <x:f>SQRT('拟合与方案'!$B$8^2+('拟合与方案'!$C$8*(A351-'拟合与方案'!$D$8))^2)</x:f>
        <x:v>2618.080032938451</x:v>
      </x:c>
      <x:c r="D351" s="92" t="n">
        <x:f>MAX(B351,C351)/MIN(B351,C351)</x:f>
        <x:v>1.0411956216996459</x:v>
      </x:c>
      <x:c r="E351" s="92" t="n">
        <x:f>IF(A351&lt;'拟合与方案'!$C$13,"",SQRT('拟合与方案'!$F$13^2+('拟合与方案'!$G$13*(A351-'拟合与方案'!$H$13))^2))</x:f>
        <x:v>3300.1986862221734</x:v>
      </x:c>
      <x:c r="F351" s="92" t="n">
        <x:f>C351</x:f>
        <x:v>2618.080032938451</x:v>
      </x:c>
      <x:c r="G351" s="92" t="n">
        <x:f>IF(E351="","",MAX(E351,F351)/MIN(E351,F351))</x:f>
        <x:v>1.2605415589675972</x:v>
      </x:c>
      <x:c r="H351" s="92" t="n">
        <x:f>IF(A351&lt;'拟合与方案'!$C$15,"",SQRT('拟合与方案'!$F$15^2+('拟合与方案'!$G$15*(A351-'拟合与方案'!$H$15))^2))</x:f>
        <x:v>4068.2827081934784</x:v>
      </x:c>
      <x:c r="I351" s="92" t="n">
        <x:f>C351</x:f>
        <x:v>2618.080032938451</x:v>
      </x:c>
      <x:c r="J351" s="92" t="n">
        <x:f>IF(H351="","",MAX(H351,I351)/MIN(H351,I351))</x:f>
        <x:v>1.5539183894341706</x:v>
      </x:c>
    </x:row>
    <x:row r="352" ht="15" hidden="0" customHeight="1">
      <x:c r="A352" s="92" t="n">
        <x:v>295</x:v>
      </x:c>
      <x:c r="B352" s="92" t="n">
        <x:f>SQRT('拟合与方案'!$B$7^2+('拟合与方案'!$C$7*(A352-'拟合与方案'!$D$7))^2)</x:f>
        <x:v>2532.959017826306</x:v>
      </x:c>
      <x:c r="C352" s="92" t="n">
        <x:f>SQRT('拟合与方案'!$B$8^2+('拟合与方案'!$C$8*(A352-'拟合与方案'!$D$8))^2)</x:f>
        <x:v>2639.3477717350693</x:v>
      </x:c>
      <x:c r="D352" s="92" t="n">
        <x:f>MAX(B352,C352)/MIN(B352,C352)</x:f>
        <x:v>1.0420017667716006</x:v>
      </x:c>
      <x:c r="E352" s="92" t="n">
        <x:f>IF(A352&lt;'拟合与方案'!$C$13,"",SQRT('拟合与方案'!$F$13^2+('拟合与方案'!$G$13*(A352-'拟合与方案'!$H$13))^2))</x:f>
        <x:v>3327.026347532234</x:v>
      </x:c>
      <x:c r="F352" s="92" t="n">
        <x:f>C352</x:f>
        <x:v>2639.3477717350693</x:v>
      </x:c>
      <x:c r="G352" s="92" t="n">
        <x:f>IF(E352="","",MAX(E352,F352)/MIN(E352,F352))</x:f>
        <x:v>1.2605486791704963</x:v>
      </x:c>
      <x:c r="H352" s="92" t="n">
        <x:f>IF(A352&lt;'拟合与方案'!$C$15,"",SQRT('拟合与方案'!$F$15^2+('拟合与方案'!$G$15*(A352-'拟合与方案'!$H$15))^2))</x:f>
        <x:v>4102.166333133785</x:v>
      </x:c>
      <x:c r="I352" s="92" t="n">
        <x:f>C352</x:f>
        <x:v>2639.3477717350693</x:v>
      </x:c>
      <x:c r="J352" s="92" t="n">
        <x:f>IF(H352="","",MAX(H352,I352)/MIN(H352,I352))</x:f>
        <x:v>1.5542348670622819</x:v>
      </x:c>
    </x:row>
    <x:row r="353" ht="15" hidden="0" customHeight="1">
      <x:c r="A353" s="92" t="n">
        <x:v>295.5</x:v>
      </x:c>
      <x:c r="B353" s="92" t="n">
        <x:f>SQRT('拟合与方案'!$B$7^2+('拟合与方案'!$C$7*(A353-'拟合与方案'!$D$7))^2)</x:f>
        <x:v>2551.4431800924344</x:v>
      </x:c>
      <x:c r="C353" s="92" t="n">
        <x:f>SQRT('拟合与方案'!$B$8^2+('拟合与方案'!$C$8*(A353-'拟合与方案'!$D$8))^2)</x:f>
        <x:v>2660.622296495555</x:v>
      </x:c>
      <x:c r="D353" s="92" t="n">
        <x:f>MAX(B353,C353)/MIN(B353,C353)</x:f>
        <x:v>1.0427911220030246</x:v>
      </x:c>
      <x:c r="E353" s="92" t="n">
        <x:f>IF(A353&lt;'拟合与方案'!$C$13,"",SQRT('拟合与方案'!$F$13^2+('拟合与方案'!$G$13*(A353-'拟合与方案'!$H$13))^2))</x:f>
        <x:v>3353.8624101437736</x:v>
      </x:c>
      <x:c r="F353" s="92" t="n">
        <x:f>C353</x:f>
        <x:v>2660.622296495555</x:v>
      </x:c>
      <x:c r="G353" s="92" t="n">
        <x:f>IF(E353="","",MAX(E353,F353)/MIN(E353,F353))</x:f>
        <x:v>1.260555628118024</x:v>
      </x:c>
      <x:c r="H353" s="92" t="n">
        <x:f>IF(A353&lt;'拟合与方案'!$C$15,"",SQRT('拟合与方案'!$F$15^2+('拟合与方案'!$G$15*(A353-'拟合与方案'!$H$15))^2))</x:f>
        <x:v>4136.054440127577</x:v>
      </x:c>
      <x:c r="I353" s="92" t="n">
        <x:f>C353</x:f>
        <x:v>2660.622296495555</x:v>
      </x:c>
      <x:c r="J353" s="92" t="n">
        <x:f>IF(H353="","",MAX(H353,I353)/MIN(H353,I353))</x:f>
        <x:v>1.554544004827514</x:v>
      </x:c>
    </x:row>
    <x:row r="354" ht="15" hidden="0" customHeight="1">
      <x:c r="A354" s="92" t="n">
        <x:v>296</x:v>
      </x:c>
      <x:c r="B354" s="92" t="n">
        <x:f>SQRT('拟合与方案'!$B$7^2+('拟合与方案'!$C$7*(A354-'拟合与方案'!$D$7))^2)</x:f>
        <x:v>2569.9459697326824</x:v>
      </x:c>
      <x:c r="C354" s="92" t="n">
        <x:f>SQRT('拟合与方案'!$B$8^2+('拟合与方案'!$C$8*(A354-'拟合与方案'!$D$8))^2)</x:f>
        <x:v>2681.903445728466</x:v>
      </x:c>
      <x:c r="D354" s="92" t="n">
        <x:f>MAX(B354,C354)/MIN(B354,C354)</x:f>
        <x:v>1.0435641361002734</x:v>
      </x:c>
      <x:c r="E354" s="92" t="n">
        <x:f>IF(A354&lt;'拟合与方案'!$C$13,"",SQRT('拟合与方案'!$F$13^2+('拟合与方案'!$G$13*(A354-'拟合与方案'!$H$13))^2))</x:f>
        <x:v>3380.7066739881075</x:v>
      </x:c>
      <x:c r="F354" s="92" t="n">
        <x:f>C354</x:f>
        <x:v>2681.903445728466</x:v>
      </x:c>
      <x:c r="G354" s="92" t="n">
        <x:f>IF(E354="","",MAX(E354,F354)/MIN(E354,F354))</x:f>
        <x:v>1.260562411138493</x:v>
      </x:c>
      <x:c r="H354" s="92" t="n">
        <x:f>IF(A354&lt;'拟合与方案'!$C$15,"",SQRT('拟合与方案'!$F$15^2+('拟合与方案'!$G$15*(A354-'拟合与方案'!$H$15))^2))</x:f>
        <x:v>4169.946919901304</x:v>
      </x:c>
      <x:c r="I354" s="92" t="n">
        <x:f>C354</x:f>
        <x:v>2681.903445728466</x:v>
      </x:c>
      <x:c r="J354" s="92" t="n">
        <x:f>IF(H354="","",MAX(H354,I354)/MIN(H354,I354))</x:f>
        <x:v>1.554846027936942</x:v>
      </x:c>
    </x:row>
    <x:row r="355" ht="15" hidden="0" customHeight="1">
      <x:c r="A355" s="92" t="n">
        <x:v>296.5</x:v>
      </x:c>
      <x:c r="B355" s="92" t="n">
        <x:f>SQRT('拟合与方案'!$B$7^2+('拟合与方案'!$C$7*(A355-'拟合与方案'!$D$7))^2)</x:f>
        <x:v>2588.4669872924387</x:v>
      </x:c>
      <x:c r="C355" s="92" t="n">
        <x:f>SQRT('拟合与方案'!$B$8^2+('拟合与方案'!$C$8*(A355-'拟合与方案'!$D$8))^2)</x:f>
        <x:v>2703.1910629782897</x:v>
      </x:c>
      <x:c r="D355" s="92" t="n">
        <x:f>MAX(B355,C355)/MIN(B355,C355)</x:f>
        <x:v>1.0443212435194522</x:v>
      </x:c>
      <x:c r="E355" s="92" t="n">
        <x:f>IF(A355&lt;'拟合与方案'!$C$13,"",SQRT('拟合与方案'!$F$13^2+('拟合与方案'!$G$13*(A355-'拟合与方案'!$H$13))^2))</x:f>
        <x:v>3407.558945240811</x:v>
      </x:c>
      <x:c r="F355" s="92" t="n">
        <x:f>C355</x:f>
        <x:v>2703.1910629782897</x:v>
      </x:c>
      <x:c r="G355" s="92" t="n">
        <x:f>IF(E355="","",MAX(E355,F355)/MIN(E355,F355))</x:f>
        <x:v>1.260569033358105</x:v>
      </x:c>
      <x:c r="H355" s="92" t="n">
        <x:f>IF(A355&lt;'拟合与方案'!$C$15,"",SQRT('拟合与方案'!$F$15^2+('拟合与方案'!$G$15*(A355-'拟合与方案'!$H$15))^2))</x:f>
        <x:v>4203.8436666915</x:v>
      </x:c>
      <x:c r="I355" s="92" t="n">
        <x:f>C355</x:f>
        <x:v>2703.1910629782897</x:v>
      </x:c>
      <x:c r="J355" s="92" t="n">
        <x:f>IF(H355="","",MAX(H355,I355)/MIN(H355,I355))</x:f>
        <x:v>1.555141153085879</x:v>
      </x:c>
    </x:row>
    <x:row r="356" ht="15" hidden="0" customHeight="1">
      <x:c r="A356" s="92" t="n">
        <x:v>297</x:v>
      </x:c>
      <x:c r="B356" s="92" t="n">
        <x:f>SQRT('拟合与方案'!$B$7^2+('拟合与方案'!$C$7*(A356-'拟合与方案'!$D$7))^2)</x:f>
        <x:v>2607.0058442805225</x:v>
      </x:c>
      <x:c r="C356" s="92" t="n">
        <x:f>SQRT('拟合与方案'!$B$8^2+('拟合与方案'!$C$8*(A356-'拟合与方案'!$D$8))^2)</x:f>
        <x:v>2724.4849966325196</x:v>
      </x:c>
      <x:c r="D356" s="92" t="n">
        <x:f>MAX(B356,C356)/MIN(B356,C356)</x:f>
        <x:v>1.045062864975824</x:v>
      </x:c>
      <x:c r="E356" s="92" t="n">
        <x:f>IF(A356&lt;'拟合与方案'!$C$13,"",SQRT('拟合与方案'!$F$13^2+('拟合与方案'!$G$13*(A356-'拟合与方案'!$H$13))^2))</x:f>
        <x:v>3434.4190360822604</x:v>
      </x:c>
      <x:c r="F356" s="92" t="n">
        <x:f>C356</x:f>
        <x:v>2724.4849966325196</x:v>
      </x:c>
      <x:c r="G356" s="92" t="n">
        <x:f>IF(E356="","",MAX(E356,F356)/MIN(E356,F356))</x:f>
        <x:v>1.2605754997099354</x:v>
      </x:c>
      <x:c r="H356" s="92" t="n">
        <x:f>IF(A356&lt;'拟合与方案'!$C$15,"",SQRT('拟合与方案'!$F$15^2+('拟合与方案'!$G$15*(A356-'拟合与方案'!$H$15))^2))</x:f>
        <x:v>4237.744578105512</x:v>
      </x:c>
      <x:c r="I356" s="92" t="n">
        <x:f>C356</x:f>
        <x:v>2724.4849966325196</x:v>
      </x:c>
      <x:c r="J356" s="92" t="n">
        <x:f>IF(H356="","",MAX(H356,I356)/MIN(H356,I356))</x:f>
        <x:v>1.5554295888372998</x:v>
      </x:c>
    </x:row>
    <x:row r="357" ht="15" hidden="0" customHeight="1">
      <x:c r="A357" s="92" t="n">
        <x:v>297.5</x:v>
      </x:c>
      <x:c r="B357" s="92" t="n">
        <x:f>SQRT('拟合与方案'!$B$7^2+('拟合与方案'!$C$7*(A357-'拟合与方案'!$D$7))^2)</x:f>
        <x:v>2625.562162809192</x:v>
      </x:c>
      <x:c r="C357" s="92" t="n">
        <x:f>SQRT('拟合与方案'!$B$8^2+('拟合与方案'!$C$8*(A357-'拟合与方案'!$D$8))^2)</x:f>
        <x:v>2745.7850997374585</x:v>
      </x:c>
      <x:c r="D357" s="92" t="n">
        <x:f>MAX(B357,C357)/MIN(B357,C357)</x:f>
        <x:v>1.0457894079337413</x:v>
      </x:c>
      <x:c r="E357" s="92" t="n">
        <x:f>IF(A357&lt;'拟合与方案'!$C$13,"",SQRT('拟合与方案'!$F$13^2+('拟合与方案'!$G$13*(A357-'拟合与方案'!$H$13))^2))</x:f>
        <x:v>3461.28676446901</x:v>
      </x:c>
      <x:c r="F357" s="92" t="n">
        <x:f>C357</x:f>
        <x:v>2745.7850997374585</x:v>
      </x:c>
      <x:c r="G357" s="92" t="n">
        <x:f>IF(E357="","",MAX(E357,F357)/MIN(E357,F357))</x:f>
        <x:v>1.2605818149424604</x:v>
      </x:c>
      <x:c r="H357" s="92" t="n">
        <x:f>IF(A357&lt;'拟合与方案'!$C$15,"",SQRT('拟合与方案'!$F$15^2+('拟合与方案'!$G$15*(A357-'拟合与方案'!$H$15))^2))</x:f>
        <x:v>4271.649554988758</x:v>
      </x:c>
      <x:c r="I357" s="92" t="n">
        <x:f>C357</x:f>
        <x:v>2745.7850997374585</x:v>
      </x:c>
      <x:c r="J357" s="92" t="n">
        <x:f>IF(H357="","",MAX(H357,I357)/MIN(H357,I357))</x:f>
        <x:v>1.5557115359818934</x:v>
      </x:c>
    </x:row>
    <x:row r="358" ht="15" hidden="0" customHeight="1">
      <x:c r="A358" s="92" t="n">
        <x:v>298</x:v>
      </x:c>
      <x:c r="B358" s="92" t="n">
        <x:f>SQRT('拟合与方案'!$B$7^2+('拟合与方案'!$C$7*(A358-'拟合与方案'!$D$7))^2)</x:f>
        <x:v>2644.1355752476534</x:v>
      </x:c>
      <x:c r="C358" s="92" t="n">
        <x:f>SQRT('拟合与方案'!$B$8^2+('拟合与方案'!$C$8*(A358-'拟合与方案'!$D$8))^2)</x:f>
        <x:v>2767.0912298222693</x:v>
      </x:c>
      <x:c r="D358" s="92" t="n">
        <x:f>MAX(B358,C358)/MIN(B358,C358)</x:f>
        <x:v>1.0465012670778424</x:v>
      </x:c>
      <x:c r="E358" s="92" t="n">
        <x:f>IF(A358&lt;'拟合与方案'!$C$13,"",SQRT('拟合与方案'!$F$13^2+('拟合与方案'!$G$13*(A358-'拟合与方案'!$H$13))^2))</x:f>
        <x:v>3488.161953915428</x:v>
      </x:c>
      <x:c r="F358" s="92" t="n">
        <x:f>C358</x:f>
        <x:v>2767.0912298222693</x:v>
      </x:c>
      <x:c r="G358" s="92" t="n">
        <x:f>IF(E358="","",MAX(E358,F358)/MIN(E358,F358))</x:f>
        <x:v>1.260587983627657</x:v>
      </x:c>
      <x:c r="H358" s="92" t="n">
        <x:f>IF(A358&lt;'拟合与方案'!$C$15,"",SQRT('拟合与方案'!$F$15^2+('拟合与方案'!$G$15*(A358-'拟合与方案'!$H$15))^2))</x:f>
        <x:v>4305.558501298197</x:v>
      </x:c>
      <x:c r="I358" s="92" t="n">
        <x:f>C358</x:f>
        <x:v>2767.0912298222693</x:v>
      </x:c>
      <x:c r="J358" s="92" t="n">
        <x:f>IF(H358="","",MAX(H358,I358)/MIN(H358,I358))</x:f>
        <x:v>1.5559871878798677</x:v>
      </x:c>
    </x:row>
    <x:row r="359" ht="15" hidden="0" customHeight="1">
      <x:c r="A359" s="92" t="n">
        <x:v>298.5</x:v>
      </x:c>
      <x:c r="B359" s="92" t="n">
        <x:f>SQRT('拟合与方案'!$B$7^2+('拟合与方案'!$C$7*(A359-'拟合与方案'!$D$7))^2)</x:f>
        <x:v>2662.7257238885245</x:v>
      </x:c>
      <x:c r="C359" s="92" t="n">
        <x:f>SQRT('拟合与方案'!$B$8^2+('拟合与方案'!$C$8*(A359-'拟合与方案'!$D$8))^2)</x:f>
        <x:v>2788.4032487308805</x:v>
      </x:c>
      <x:c r="D359" s="92" t="n">
        <x:f>MAX(B359,C359)/MIN(B359,C359)</x:f>
        <x:v>1.0471988247662332</x:v>
      </x:c>
      <x:c r="E359" s="92" t="n">
        <x:f>IF(A359&lt;'拟合与方案'!$C$13,"",SQRT('拟合与方案'!$F$13^2+('拟合与方案'!$G$13*(A359-'拟合与方案'!$H$13))^2))</x:f>
        <x:v>3515.044433285083</x:v>
      </x:c>
      <x:c r="F359" s="92" t="n">
        <x:f>C359</x:f>
        <x:v>2788.4032487308805</x:v>
      </x:c>
      <x:c r="G359" s="92" t="n">
        <x:f>IF(E359="","",MAX(E359,F359)/MIN(E359,F359))</x:f>
        <x:v>1.260594010168697</x:v>
      </x:c>
      <x:c r="H359" s="92" t="n">
        <x:f>IF(A359&lt;'拟合与方案'!$C$15,"",SQRT('拟合与方案'!$F$15^2+('拟合与方案'!$G$15*(A359-'拟合与方案'!$H$15))^2))</x:f>
        <x:v>4339.471323981675</x:v>
      </x:c>
      <x:c r="I359" s="92" t="n">
        <x:f>C359</x:f>
        <x:v>2788.4032487308805</x:v>
      </x:c>
      <x:c r="J359" s="92" t="n">
        <x:f>IF(H359="","",MAX(H359,I359)/MIN(H359,I359))</x:f>
        <x:v>1.5562567307855313</x:v>
      </x:c>
    </x:row>
    <x:row r="360" ht="15" hidden="0" customHeight="1">
      <x:c r="A360" s="92" t="n">
        <x:v>299</x:v>
      </x:c>
      <x:c r="B360" s="92" t="n">
        <x:f>SQRT('拟合与方案'!$B$7^2+('拟合与方案'!$C$7*(A360-'拟合与方案'!$D$7))^2)</x:f>
        <x:v>2681.3322606267143</x:v>
      </x:c>
      <x:c r="C360" s="92" t="n">
        <x:f>SQRT('拟合与方案'!$B$8^2+('拟合与方案'!$C$8*(A360-'拟合与方案'!$D$8))^2)</x:f>
        <x:v>2809.7210224613173</x:v>
      </x:c>
      <x:c r="D360" s="92" t="n">
        <x:f>MAX(B360,C360)/MIN(B360,C360)</x:f>
        <x:v>1.0478824514663447</x:v>
      </x:c>
      <x:c r="E360" s="92" t="n">
        <x:f>IF(A360&lt;'拟合与方案'!$C$13,"",SQRT('拟合与方案'!$F$13^2+('拟合与方案'!$G$13*(A360-'拟合与方案'!$H$13))^2))</x:f>
        <x:v>3541.934036591366</x:v>
      </x:c>
      <x:c r="F360" s="92" t="n">
        <x:f>C360</x:f>
        <x:v>2809.7210224613173</x:v>
      </x:c>
      <x:c r="G360" s="92" t="n">
        <x:f>IF(E360="","",MAX(E360,F360)/MIN(E360,F360))</x:f>
        <x:v>1.2605998988072593</x:v>
      </x:c>
      <x:c r="H360" s="92" t="n">
        <x:f>IF(A360&lt;'拟合与方案'!$C$15,"",SQRT('拟合与方案'!$F$15^2+('拟合与方案'!$G$15*(A360-'拟合与方案'!$H$15))^2))</x:f>
        <x:v>4373.3879328627945</x:v>
      </x:c>
      <x:c r="I360" s="92" t="n">
        <x:f>C360</x:f>
        <x:v>2809.7210224613173</x:v>
      </x:c>
      <x:c r="J360" s="92" t="n">
        <x:f>IF(H360="","",MAX(H360,I360)/MIN(H360,I360))</x:f>
        <x:v>1.5565203441556288</x:v>
      </x:c>
    </x:row>
    <x:row r="361" ht="15" hidden="0" customHeight="1">
      <x:c r="A361" s="92" t="n">
        <x:v>299.5</x:v>
      </x:c>
      <x:c r="B361" s="92" t="n">
        <x:f>SQRT('拟合与方案'!$B$7^2+('拟合与方案'!$C$7*(A361-'拟合与方案'!$D$7))^2)</x:f>
        <x:v>2699.9548466502065</x:v>
      </x:c>
      <x:c r="C361" s="92" t="n">
        <x:f>SQRT('拟合与方案'!$B$8^2+('拟合与方案'!$C$8*(A361-'拟合与方案'!$D$8))^2)</x:f>
        <x:v>2831.0444210121022</x:v>
      </x:c>
      <x:c r="D361" s="92" t="n">
        <x:f>MAX(B361,C361)/MIN(B361,C361)</x:f>
        <x:v>1.0485525061741445</x:v>
      </x:c>
      <x:c r="E361" s="92" t="n">
        <x:f>IF(A361&lt;'拟合与方案'!$C$13,"",SQRT('拟合与方案'!$F$13^2+('拟合与方案'!$G$13*(A361-'拟合与方案'!$H$13))^2))</x:f>
        <x:v>3568.830602806888</x:v>
      </x:c>
      <x:c r="F361" s="92" t="n">
        <x:f>C361</x:f>
        <x:v>2831.0444210121022</x:v>
      </x:c>
      <x:c r="G361" s="92" t="n">
        <x:f>IF(E361="","",MAX(E361,F361)/MIN(E361,F361))</x:f>
        <x:v>1.260605653630481</x:v>
      </x:c>
      <x:c r="H361" s="92" t="n">
        <x:f>IF(A361&lt;'拟合与方案'!$C$15,"",SQRT('拟合与方案'!$F$15^2+('拟合与方案'!$G$15*(A361-'拟合与方案'!$H$15))^2))</x:f>
        <x:v>4407.308240531072</x:v>
      </x:c>
      <x:c r="I361" s="92" t="n">
        <x:f>C361</x:f>
        <x:v>2831.0444210121022</x:v>
      </x:c>
      <x:c r="J361" s="92" t="n">
        <x:f>IF(H361="","",MAX(H361,I361)/MIN(H361,I361))</x:f>
        <x:v>1.5567782009423412</x:v>
      </x:c>
    </x:row>
    <x:row r="362" ht="15" hidden="0" customHeight="1">
      <x:c r="A362" s="92" t="n">
        <x:v>300</x:v>
      </x:c>
      <x:c r="B362" s="92" t="n">
        <x:f>SQRT('拟合与方案'!$B$7^2+('拟合与方案'!$C$7*(A362-'拟合与方案'!$D$7))^2)</x:f>
        <x:v>2718.59315214226</x:v>
      </x:c>
      <x:c r="C362" s="92" t="n">
        <x:f>SQRT('拟合与方案'!$B$8^2+('拟合与方案'!$C$8*(A362-'拟合与方案'!$D$8))^2)</x:f>
        <x:v>2852.373318235353</x:v>
      </x:c>
      <x:c r="D362" s="92" t="n">
        <x:f>MAX(B362,C362)/MIN(B362,C362)</x:f>
        <x:v>1.0492093368173439</x:v>
      </x:c>
      <x:c r="E362" s="92" t="n">
        <x:f>IF(A362&lt;'拟合与方案'!$C$13,"",SQRT('拟合与方案'!$F$13^2+('拟合与方案'!$G$13*(A362-'拟合与方案'!$H$13))^2))</x:f>
        <x:v>3595.7339756812016</x:v>
      </x:c>
      <x:c r="F362" s="92" t="n">
        <x:f>C362</x:f>
        <x:v>2852.373318235353</x:v>
      </x:c>
      <x:c r="G362" s="92" t="n">
        <x:f>IF(E362="","",MAX(E362,F362)/MIN(E362,F362))</x:f>
        <x:v>1.2606112785775656</x:v>
      </x:c>
      <x:c r="H362" s="92" t="n">
        <x:f>IF(A362&lt;'拟合与方案'!$C$15,"",SQRT('拟合与方案'!$F$15^2+('拟合与方案'!$G$15*(A362-'拟合与方案'!$H$15))^2))</x:f>
        <x:v>4441.232162237057</x:v>
      </x:c>
      <x:c r="I362" s="92" t="n">
        <x:f>C362</x:f>
        <x:v>2852.373318235353</x:v>
      </x:c>
      <x:c r="J362" s="92" t="n">
        <x:f>IF(H362="","",MAX(H362,I362)/MIN(H362,I362))</x:f>
        <x:v>1.5570304678718094</x:v>
      </x:c>
    </x:row>
    <x:row r="363" ht="15" hidden="0" customHeight="1">
      <x:c r="A363" s="92" t="n">
        <x:v>300.5</x:v>
      </x:c>
      <x:c r="B363" s="92" t="n">
        <x:f>SQRT('拟合与方案'!$B$7^2+('拟合与方案'!$C$7*(A363-'拟合与方案'!$D$7))^2)</x:f>
        <x:v>2737.2468559945605</x:v>
      </x:c>
      <x:c r="C363" s="92" t="n">
        <x:f>SQRT('拟合与方案'!$B$8^2+('拟合与方案'!$C$8*(A363-'拟合与方案'!$D$8))^2)</x:f>
        <x:v>2873.707591696257</x:v>
      </x:c>
      <x:c r="D363" s="92" t="n">
        <x:f>MAX(B363,C363)/MIN(B363,C363)</x:f>
        <x:v>1.0498532806432304</x:v>
      </x:c>
      <x:c r="E363" s="92" t="n">
        <x:f>IF(A363&lt;'拟合与方案'!$C$13,"",SQRT('拟合与方案'!$F$13^2+('拟合与方案'!$G$13*(A363-'拟合与方案'!$H$13))^2))</x:f>
        <x:v>3622.6440035664436</x:v>
      </x:c>
      <x:c r="F363" s="92" t="n">
        <x:f>C363</x:f>
        <x:v>2873.707591696257</x:v>
      </x:c>
      <x:c r="G363" s="92" t="n">
        <x:f>IF(E363="","",MAX(E363,F363)/MIN(E363,F363))</x:f>
        <x:v>1.2606167774460704</x:v>
      </x:c>
      <x:c r="H363" s="92" t="n">
        <x:f>IF(A363&lt;'拟合与方案'!$C$15,"",SQRT('拟合与方案'!$F$15^2+('拟合与方案'!$G$15*(A363-'拟合与方案'!$H$15))^2))</x:f>
        <x:v>4475.159615792172</x:v>
      </x:c>
      <x:c r="I363" s="92" t="n">
        <x:f>C363</x:f>
        <x:v>2873.707591696257</x:v>
      </x:c>
      <x:c r="J363" s="92" t="n">
        <x:f>IF(H363="","",MAX(H363,I363)/MIN(H363,I363))</x:f>
        <x:v>1.5572773057089742</x:v>
      </x:c>
    </x:row>
    <x:row r="364" ht="15" hidden="0" customHeight="1">
      <x:c r="A364" s="92" t="n">
        <x:v>301</x:v>
      </x:c>
      <x:c r="B364" s="92" t="n">
        <x:f>SQRT('拟合与方案'!$B$7^2+('拟合与方案'!$C$7*(A364-'拟合与方案'!$D$7))^2)</x:f>
        <x:v>2755.915645530882</x:v>
      </x:c>
      <x:c r="C364" s="92" t="n">
        <x:f>SQRT('拟合与方案'!$B$8^2+('拟合与方案'!$C$8*(A364-'拟合与方案'!$D$8))^2)</x:f>
        <x:v>2895.047122538592</x:v>
      </x:c>
      <x:c r="D364" s="92" t="n">
        <x:f>MAX(B364,C364)/MIN(B364,C364)</x:f>
        <x:v>1.0504846645917234</x:v>
      </x:c>
      <x:c r="E364" s="92" t="n">
        <x:f>IF(A364&lt;'拟合与方案'!$C$13,"",SQRT('拟合与方案'!$F$13^2+('拟合与方案'!$G$13*(A364-'拟合与方案'!$H$13))^2))</x:f>
        <x:v>3649.5605392504845</x:v>
      </x:c>
      <x:c r="F364" s="92" t="n">
        <x:f>C364</x:f>
        <x:v>2895.047122538592</x:v>
      </x:c>
      <x:c r="G364" s="92" t="n">
        <x:f>IF(E364="","",MAX(E364,F364)/MIN(E364,F364))</x:f>
        <x:v>1.2606221538978888</x:v>
      </x:c>
      <x:c r="H364" s="92" t="n">
        <x:f>IF(A364&lt;'拟合与方案'!$C$15,"",SQRT('拟合与方案'!$F$15^2+('拟合与方案'!$G$15*(A364-'拟合与方案'!$H$15))^2))</x:f>
        <x:v>4509.090521473037</x:v>
      </x:c>
      <x:c r="I364" s="92" t="n">
        <x:f>C364</x:f>
        <x:v>2895.047122538592</x:v>
      </x:c>
      <x:c r="J364" s="92" t="n">
        <x:f>IF(H364="","",MAX(H364,I364)/MIN(H364,I364))</x:f>
        <x:v>1.5575188695094997</x:v>
      </x:c>
    </x:row>
    <x:row r="365" ht="15" hidden="0" customHeight="1">
      <x:c r="A365" s="92" t="n">
        <x:v>301.5</x:v>
      </x:c>
      <x:c r="B365" s="92" t="n">
        <x:f>SQRT('拟合与方案'!$B$7^2+('拟合与方案'!$C$7*(A365-'拟合与方案'!$D$7))^2)</x:f>
        <x:v>2774.599216240819</x:v>
      </x:c>
      <x:c r="C365" s="92" t="n">
        <x:f>SQRT('拟合与方案'!$B$8^2+('拟合与方案'!$C$8*(A365-'拟合与方案'!$D$8))^2)</x:f>
        <x:v>2916.3917953560003</x:v>
      </x:c>
      <x:c r="D365" s="92" t="n">
        <x:f>MAX(B365,C365)/MIN(B365,C365)</x:f>
        <x:v>1.0511038056542414</x:v>
      </x:c>
      <x:c r="E365" s="92" t="n">
        <x:f>IF(A365&lt;'拟合与方案'!$C$13,"",SQRT('拟合与方案'!$F$13^2+('拟合与方案'!$G$13*(A365-'拟合与方案'!$H$13))^2))</x:f>
        <x:v>3676.48343979723</x:v>
      </x:c>
      <x:c r="F365" s="92" t="n">
        <x:f>C365</x:f>
        <x:v>2916.3917953560003</x:v>
      </x:c>
      <x:c r="G365" s="92" t="n">
        <x:f>IF(E365="","",MAX(E365,F365)/MIN(E365,F365))</x:f>
        <x:v>1.260627411464942</x:v>
      </x:c>
      <x:c r="H365" s="92" t="n">
        <x:f>IF(A365&lt;'拟合与方案'!$C$15,"",SQRT('拟合与方案'!$F$15^2+('拟合与方案'!$G$15*(A365-'拟合与方案'!$H$15))^2))</x:f>
        <x:v>4543.02480193003</x:v>
      </x:c>
      <x:c r="I365" s="92" t="n">
        <x:f>C365</x:f>
        <x:v>2916.3917953560003</x:v>
      </x:c>
      <x:c r="J365" s="92" t="n">
        <x:f>IF(H365="","",MAX(H365,I365)/MIN(H365,I365))</x:f>
        <x:v>1.5577553088594767</x:v>
      </x:c>
    </x:row>
    <x:row r="366" ht="15" hidden="0" customHeight="1">
      <x:c r="A366" s="92" t="n">
        <x:v>302</x:v>
      </x:c>
      <x:c r="B366" s="92" t="n">
        <x:f>SQRT('拟合与方案'!$B$7^2+('拟合与方案'!$C$7*(A366-'拟合与方案'!$D$7))^2)</x:f>
        <x:v>2793.2972715231913</x:v>
      </x:c>
      <x:c r="C366" s="92" t="n">
        <x:f>SQRT('拟合与方案'!$B$8^2+('拟合与方案'!$C$8*(A366-'拟合与方案'!$D$8))^2)</x:f>
        <x:v>2937.7414980687363</x:v>
      </x:c>
      <x:c r="D366" s="92" t="n">
        <x:f>MAX(B366,C366)/MIN(B366,C366)</x:f>
        <x:v>1.051711011218931</x:v>
      </x:c>
      <x:c r="E366" s="92" t="n">
        <x:f>IF(A366&lt;'拟合与方案'!$C$13,"",SQRT('拟合与方案'!$F$13^2+('拟合与方案'!$G$13*(A366-'拟合与方案'!$H$13))^2))</x:f>
        <x:v>3703.4125663937116</x:v>
      </x:c>
      <x:c r="F366" s="92" t="n">
        <x:f>C366</x:f>
        <x:v>2937.7414980687363</x:v>
      </x:c>
      <x:c r="G366" s="92" t="n">
        <x:f>IF(E366="","",MAX(E366,F366)/MIN(E366,F366))</x:f>
        <x:v>1.2606325535546015</x:v>
      </x:c>
      <x:c r="H366" s="92" t="n">
        <x:f>IF(A366&lt;'拟合与方案'!$C$15,"",SQRT('拟合与方案'!$F$15^2+('拟合与方案'!$G$15*(A366-'拟合与方案'!$H$15))^2))</x:f>
        <x:v>4576.962382099873</x:v>
      </x:c>
      <x:c r="I366" s="92" t="n">
        <x:f>C366</x:f>
        <x:v>2937.7414980687363</x:v>
      </x:c>
      <x:c r="J366" s="92" t="n">
        <x:f>IF(H366="","",MAX(H366,I366)/MIN(H366,I366))</x:f>
        <x:v>1.5579867681035777</x:v>
      </x:c>
    </x:row>
    <x:row r="367" ht="15" hidden="0" customHeight="1">
      <x:c r="A367" s="92" t="n">
        <x:v>302.5</x:v>
      </x:c>
      <x:c r="B367" s="92" t="n">
        <x:f>SQRT('拟合与方案'!$B$7^2+('拟合与方案'!$C$7*(A367-'拟合与方案'!$D$7))^2)</x:f>
        <x:v>2812.009522438734</x:v>
      </x:c>
      <x:c r="C367" s="92" t="n">
        <x:f>SQRT('拟合与方案'!$B$8^2+('拟合与方案'!$C$8*(A367-'拟合与方案'!$D$8))^2)</x:f>
        <x:v>2959.096121805613</x:v>
      </x:c>
      <x:c r="D367" s="92" t="n">
        <x:f>MAX(B367,C367)/MIN(B367,C367)</x:f>
        <x:v>1.0523065794028028</x:v>
      </x:c>
      <x:c r="E367" s="92" t="n">
        <x:f>IF(A367&lt;'拟合与方案'!$C$13,"",SQRT('拟合与方案'!$F$13^2+('拟合与方案'!$G$13*(A367-'拟合与方案'!$H$13))^2))</x:f>
        <x:v>3730.347784203646</x:v>
      </x:c>
      <x:c r="F367" s="92" t="n">
        <x:f>C367</x:f>
        <x:v>2959.096121805613</x:v>
      </x:c>
      <x:c r="G367" s="92" t="n">
        <x:f>IF(E367="","",MAX(E367,F367)/MIN(E367,F367))</x:f>
        <x:v>1.2606375834548498</x:v>
      </x:c>
      <x:c r="H367" s="92" t="n">
        <x:f>IF(A367&lt;'拟合与方案'!$C$15,"",SQRT('拟合与方案'!$F$15^2+('拟合与方案'!$G$15*(A367-'拟合与方案'!$H$15))^2))</x:f>
        <x:v>4610.903189122046</x:v>
      </x:c>
      <x:c r="I367" s="92" t="n">
        <x:f>C367</x:f>
        <x:v>2959.096121805613</x:v>
      </x:c>
      <x:c r="J367" s="92" t="n">
        <x:f>IF(H367="","",MAX(H367,I367)/MIN(H367,I367))</x:f>
        <x:v>1.558213386562284</x:v>
      </x:c>
    </x:row>
    <x:row r="368" ht="15" hidden="0" customHeight="1">
      <x:c r="A368" s="92" t="n">
        <x:v>303</x:v>
      </x:c>
      <x:c r="B368" s="92" t="n">
        <x:f>SQRT('拟合与方案'!$B$7^2+('拟合与方案'!$C$7*(A368-'拟合与方案'!$D$7))^2)</x:f>
        <x:v>2830.7356874716866</x:v>
      </x:c>
      <x:c r="C368" s="92" t="n">
        <x:f>SQRT('拟合与方案'!$B$8^2+('拟合与方案'!$C$8*(A368-'拟合与方案'!$D$8))^2)</x:f>
        <x:v>2980.4555607909065</x:v>
      </x:c>
      <x:c r="D368" s="92" t="n">
        <x:f>MAX(B368,C368)/MIN(B368,C368)</x:f>
        <x:v>1.0528907993712915</x:v>
      </x:c>
      <x:c r="E368" s="92" t="n">
        <x:f>IF(A368&lt;'拟合与方案'!$C$13,"",SQRT('拟合与方案'!$F$13^2+('拟合与方案'!$G$13*(A368-'拟合与方案'!$H$13))^2))</x:f>
        <x:v>3757.2889622271327</x:v>
      </x:c>
      <x:c r="F368" s="92" t="n">
        <x:f>C368</x:f>
        <x:v>2980.4555607909065</x:v>
      </x:c>
      <x:c r="G368" s="92" t="n">
        <x:f>IF(E368="","",MAX(E368,F368)/MIN(E368,F368))</x:f>
        <x:v>1.2606425043391964</x:v>
      </x:c>
      <x:c r="H368" s="92" t="n">
        <x:f>IF(A368&lt;'拟合与方案'!$C$15,"",SQRT('拟合与方案'!$F$15^2+('拟合与方案'!$G$15*(A368-'拟合与方案'!$H$15))^2))</x:f>
        <x:v>4644.847152258825</x:v>
      </x:c>
      <x:c r="I368" s="92" t="n">
        <x:f>C368</x:f>
        <x:v>2980.4555607909065</x:v>
      </x:c>
      <x:c r="J368" s="92" t="n">
        <x:f>IF(H368="","",MAX(H368,I368)/MIN(H368,I368))</x:f>
        <x:v>1.5584352987387768</x:v>
      </x:c>
    </x:row>
    <x:row r="369" ht="15" hidden="0" customHeight="1">
      <x:c r="A369" s="92" t="n">
        <x:v>303.5</x:v>
      </x:c>
      <x:c r="B369" s="92" t="n">
        <x:f>SQRT('拟合与方案'!$B$7^2+('拟合与方案'!$C$7*(A369-'拟合与方案'!$D$7))^2)</x:f>
        <x:v>2849.4754922999355</x:v>
      </x:c>
      <x:c r="C369" s="92" t="n">
        <x:f>SQRT('拟合与方案'!$B$8^2+('拟合与方案'!$C$8*(A369-'拟合与方案'!$D$8))^2)</x:f>
        <x:v>3001.8197122359607</x:v>
      </x:c>
      <x:c r="D369" s="92" t="n">
        <x:f>MAX(B369,C369)/MIN(B369,C369)</x:f>
        <x:v>1.0534639516457331</x:v>
      </x:c>
      <x:c r="E369" s="92" t="n">
        <x:f>IF(A369&lt;'拟合与方案'!$C$13,"",SQRT('拟合与方案'!$F$13^2+('拟合与方案'!$G$13*(A369-'拟合与方案'!$H$13))^2))</x:f>
        <x:v>3784.2359731662145</x:v>
      </x:c>
      <x:c r="F369" s="92" t="n">
        <x:f>C369</x:f>
        <x:v>3001.8197122359607</x:v>
      </x:c>
      <x:c r="G369" s="92" t="n">
        <x:f>IF(E369="","",MAX(E369,F369)/MIN(E369,F369))</x:f>
        <x:v>1.2606473192713685</x:v>
      </x:c>
      <x:c r="H369" s="92" t="n">
        <x:f>IF(A369&lt;'拟合与方案'!$C$15,"",SQRT('拟合与方案'!$F$15^2+('拟合与方案'!$G$15*(A369-'拟合与方案'!$H$15))^2))</x:f>
        <x:v>4678.794202818769</x:v>
      </x:c>
      <x:c r="I369" s="92" t="n">
        <x:f>C369</x:f>
        <x:v>3001.8197122359607</x:v>
      </x:c>
      <x:c r="J369" s="92" t="n">
        <x:f>IF(H369="","",MAX(H369,I369)/MIN(H369,I369))</x:f>
        <x:v>1.5586526345160425</x:v>
      </x:c>
    </x:row>
    <x:row r="370" ht="15" hidden="0" customHeight="1">
      <x:c r="A370" s="92" t="n">
        <x:v>304</x:v>
      </x:c>
      <x:c r="B370" s="92" t="n">
        <x:f>SQRT('拟合与方案'!$B$7^2+('拟合与方案'!$C$7*(A370-'拟合与方案'!$D$7))^2)</x:f>
        <x:v>2868.228669573364</x:v>
      </x:c>
      <x:c r="C370" s="92" t="n">
        <x:f>SQRT('拟合与方案'!$B$8^2+('拟合与方案'!$C$8*(A370-'拟合与方案'!$D$8))^2)</x:f>
        <x:v>3023.188476235292</x:v>
      </x:c>
      <x:c r="D370" s="92" t="n">
        <x:f>MAX(B370,C370)/MIN(B370,C370)</x:f>
        <x:v>1.0540263083992454</x:v>
      </x:c>
      <x:c r="E370" s="92" t="n">
        <x:f>IF(A370&lt;'拟合与方案'!$C$13,"",SQRT('拟合与方案'!$F$13^2+('拟合与方案'!$G$13*(A370-'拟合与方案'!$H$13))^2))</x:f>
        <x:v>3811.1886932959974</x:v>
      </x:c>
      <x:c r="F370" s="92" t="n">
        <x:f>C370</x:f>
        <x:v>3023.188476235292</x:v>
      </x:c>
      <x:c r="G370" s="92" t="n">
        <x:f>IF(E370="","",MAX(E370,F370)/MIN(E370,F370))</x:f>
        <x:v>1.2606520312097724</x:v>
      </x:c>
      <x:c r="H370" s="92" t="n">
        <x:f>IF(A370&lt;'拟合与方案'!$C$15,"",SQRT('拟合与方案'!$F$15^2+('拟合与方案'!$G$15*(A370-'拟合与方案'!$H$15))^2))</x:f>
        <x:v>4712.744274083488</x:v>
      </x:c>
      <x:c r="I370" s="92" t="n">
        <x:f>C370</x:f>
        <x:v>3023.188476235292</x:v>
      </x:c>
      <x:c r="J370" s="92" t="n">
        <x:f>IF(H370="","",MAX(H370,I370)/MIN(H370,I370))</x:f>
        <x:v>1.5588655193447156</x:v>
      </x:c>
    </x:row>
    <x:row r="371" ht="15" hidden="0" customHeight="1">
      <x:c r="A371" s="92" t="n">
        <x:v>304.5</x:v>
      </x:c>
      <x:c r="B371" s="92" t="n">
        <x:f>SQRT('拟合与方案'!$B$7^2+('拟合与方案'!$C$7*(A371-'拟合与方案'!$D$7))^2)</x:f>
        <x:v>2886.9949587000833</x:v>
      </x:c>
      <x:c r="C371" s="92" t="n">
        <x:f>SQRT('拟合与方案'!$B$8^2+('拟合与方案'!$C$8*(A371-'拟合与方案'!$D$8))^2)</x:f>
        <x:v>3044.56175566696</x:v>
      </x:c>
      <x:c r="D371" s="92" t="n">
        <x:f>MAX(B371,C371)/MIN(B371,C371)</x:f>
        <x:v>1.054578133741468</x:v>
      </x:c>
      <x:c r="E371" s="92" t="n">
        <x:f>IF(A371&lt;'拟合与方案'!$C$13,"",SQRT('拟合与方案'!$F$13^2+('拟合与方案'!$G$13*(A371-'拟合与方案'!$H$13))^2))</x:f>
        <x:v>3838.1470023410857</x:v>
      </x:c>
      <x:c r="F371" s="92" t="n">
        <x:f>C371</x:f>
        <x:v>3044.56175566696</x:v>
      </x:c>
      <x:c r="G371" s="92" t="n">
        <x:f>IF(E371="","",MAX(E371,F371)/MIN(E371,F371))</x:f>
        <x:v>1.2606566430117554</x:v>
      </x:c>
      <x:c r="H371" s="92" t="n">
        <x:f>IF(A371&lt;'拟合与方案'!$C$15,"",SQRT('拟合与方案'!$F$15^2+('拟合与方案'!$G$15*(A371-'拟合与方案'!$H$15))^2))</x:f>
        <x:v>4746.697301237505</x:v>
      </x:c>
      <x:c r="I371" s="92" t="n">
        <x:f>C371</x:f>
        <x:v>3044.56175566696</x:v>
      </x:c>
      <x:c r="J371" s="92" t="n">
        <x:f>IF(H371="","",MAX(H371,I371)/MIN(H371,I371))</x:f>
        <x:v>1.5590740744221379</x:v>
      </x:c>
    </x:row>
    <x:row r="372" ht="15" hidden="0" customHeight="1">
      <x:c r="A372" s="92" t="n">
        <x:v>305</x:v>
      </x:c>
      <x:c r="B372" s="92" t="n">
        <x:f>SQRT('拟合与方案'!$B$7^2+('拟合与方案'!$C$7*(A372-'拟合与方案'!$D$7))^2)</x:f>
        <x:v>2905.774105640229</x:v>
      </x:c>
      <x:c r="C372" s="92" t="n">
        <x:f>SQRT('拟合与方案'!$B$8^2+('拟合与方案'!$C$8*(A372-'拟合与方案'!$D$8))^2)</x:f>
        <x:v>3065.9394560970104</x:v>
      </x:c>
      <x:c r="D372" s="92" t="n">
        <x:f>MAX(B372,C372)/MIN(B372,C372)</x:f>
        <x:v>1.055119683992604</x:v>
      </x:c>
      <x:c r="E372" s="92" t="n">
        <x:f>IF(A372&lt;'拟合与方案'!$C$13,"",SQRT('拟合与方案'!$F$13^2+('拟合与方案'!$G$13*(A372-'拟合与方案'!$H$13))^2))</x:f>
        <x:v>3865.110783357067</x:v>
      </x:c>
      <x:c r="F372" s="92" t="n">
        <x:f>C372</x:f>
        <x:v>3065.9394560970104</x:v>
      </x:c>
      <x:c r="G372" s="92" t="n">
        <x:f>IF(E372="","",MAX(E372,F372)/MIN(E372,F372))</x:f>
        <x:v>1.2606611574376665</x:v>
      </x:c>
      <x:c r="H372" s="92" t="n">
        <x:f>IF(A372&lt;'拟合与方案'!$C$15,"",SQRT('拟合与方案'!$F$15^2+('拟合与方案'!$G$15*(A372-'拟合与方案'!$H$15))^2))</x:f>
        <x:v>4780.65322130111</x:v>
      </x:c>
      <x:c r="I372" s="92" t="n">
        <x:f>C372</x:f>
        <x:v>3065.9394560970104</x:v>
      </x:c>
      <x:c r="J372" s="92" t="n">
        <x:f>IF(H372="","",MAX(H372,I372)/MIN(H372,I372))</x:f>
        <x:v>1.5592784168631162</x:v>
      </x:c>
    </x:row>
    <x:row r="373" ht="15" hidden="0" customHeight="1">
      <x:c r="A373" s="92" t="n">
        <x:v>305.5</x:v>
      </x:c>
      <x:c r="B373" s="92" t="n">
        <x:f>SQRT('拟合与方案'!$B$7^2+('拟合与方案'!$C$7*(A373-'拟合与方案'!$D$7))^2)</x:f>
        <x:v>2924.5658627070316</x:v>
      </x:c>
      <x:c r="C373" s="92" t="n">
        <x:f>SQRT('拟合与方案'!$B$8^2+('拟合与方案'!$C$8*(A373-'拟合与方案'!$D$8))^2)</x:f>
        <x:v>3087.3214856877985</x:v>
      </x:c>
      <x:c r="D373" s="92" t="n">
        <x:f>MAX(B373,C373)/MIN(B373,C373)</x:f>
        <x:v>1.0556512079471916</x:v>
      </x:c>
      <x:c r="E373" s="92" t="n">
        <x:f>IF(A373&lt;'拟合与方案'!$C$13,"",SQRT('拟合与方案'!$F$13^2+('拟合与方案'!$G$13*(A373-'拟合与方案'!$H$13))^2))</x:f>
        <x:v>3892.079922616813</x:v>
      </x:c>
      <x:c r="F373" s="92" t="n">
        <x:f>C373</x:f>
        <x:v>3087.3214856877985</x:v>
      </x:c>
      <x:c r="G373" s="92" t="n">
        <x:f>IF(E373="","",MAX(E373,F373)/MIN(E373,F373))</x:f>
        <x:v>1.260665577154732</x:v>
      </x:c>
      <x:c r="H373" s="92" t="n">
        <x:f>IF(A373&lt;'拟合与方案'!$C$15,"",SQRT('拟合与方案'!$F$15^2+('拟合与方案'!$G$15*(A373-'拟合与方案'!$H$15))^2))</x:f>
        <x:v>4814.611973066002</x:v>
      </x:c>
      <x:c r="I373" s="92" t="n">
        <x:f>C373</x:f>
        <x:v>3087.3214856877985</x:v>
      </x:c>
      <x:c r="J373" s="92" t="n">
        <x:f>IF(H373="","",MAX(H373,I373)/MIN(H373,I373))</x:f>
        <x:v>1.5594786598627888</x:v>
      </x:c>
    </x:row>
    <x:row r="374" ht="15" hidden="0" customHeight="1">
      <x:c r="A374" s="92" t="n">
        <x:v>306</x:v>
      </x:c>
      <x:c r="B374" s="92" t="n">
        <x:f>SQRT('拟合与方案'!$B$7^2+('拟合与方案'!$C$7*(A374-'拟合与方案'!$D$7))^2)</x:f>
        <x:v>2943.369988374864</x:v>
      </x:c>
      <x:c r="C374" s="92" t="n">
        <x:f>SQRT('拟合与方案'!$B$8^2+('拟合与方案'!$C$8*(A374-'拟合与方案'!$D$8))^2)</x:f>
        <x:v>3108.707755110013</x:v>
      </x:c>
      <x:c r="D374" s="92" t="n">
        <x:f>MAX(B374,C374)/MIN(B374,C374)</x:f>
        <x:v>1.0561729471280086</x:v>
      </x:c>
      <x:c r="E374" s="92" t="n">
        <x:f>IF(A374&lt;'拟合与方案'!$C$13,"",SQRT('拟合与方案'!$F$13^2+('拟合与方案'!$G$13*(A374-'拟合与方案'!$H$13))^2))</x:f>
        <x:v>3919.0543095013777</x:v>
      </x:c>
      <x:c r="F374" s="92" t="n">
        <x:f>C374</x:f>
        <x:v>3108.707755110013</x:v>
      </x:c>
      <x:c r="G374" s="92" t="n">
        <x:f>IF(E374="","",MAX(E374,F374)/MIN(E374,F374))</x:f>
        <x:v>1.2606699047407524</x:v>
      </x:c>
      <x:c r="H374" s="92" t="n">
        <x:f>IF(A374&lt;'拟合与方案'!$C$15,"",SQRT('拟合与方案'!$F$15^2+('拟合与方案'!$G$15*(A374-'拟合与方案'!$H$15))^2))</x:f>
        <x:v>4848.573497033625</x:v>
      </x:c>
      <x:c r="I374" s="92" t="n">
        <x:f>C374</x:f>
        <x:v>3108.707755110013</x:v>
      </x:c>
      <x:c r="J374" s="92" t="n">
        <x:f>IF(H374="","",MAX(H374,I374)/MIN(H374,I374))</x:f>
        <x:v>1.5596749128520255</x:v>
      </x:c>
    </x:row>
    <x:row r="375" ht="15" hidden="0" customHeight="1">
      <x:c r="A375" s="92" t="n">
        <x:v>306.5</x:v>
      </x:c>
      <x:c r="B375" s="92" t="n">
        <x:f>SQRT('拟合与方案'!$B$7^2+('拟合与方案'!$C$7*(A375-'拟合与方案'!$D$7))^2)</x:f>
        <x:v>2962.186247094001</x:v>
      </x:c>
      <x:c r="C375" s="92" t="n">
        <x:f>SQRT('拟合与方案'!$B$8^2+('拟合与方案'!$C$8*(A375-'拟合与方案'!$D$8))^2)</x:f>
        <x:v>3130.0981774582224</x:v>
      </x:c>
      <x:c r="D375" s="92" t="n">
        <x:f>MAX(B375,C375)/MIN(B375,C375)</x:f>
        <x:v>1.0566851360305074</x:v>
      </x:c>
      <x:c r="E375" s="92" t="n">
        <x:f>IF(A375&lt;'拟合与方案'!$C$13,"",SQRT('拟合与方案'!$F$13^2+('拟合与方案'!$G$13*(A375-'拟合与方案'!$H$13))^2))</x:f>
        <x:v>3946.0338363952674</x:v>
      </x:c>
      <x:c r="F375" s="92" t="n">
        <x:f>C375</x:f>
        <x:v>3130.0981774582224</x:v>
      </x:c>
      <x:c r="G375" s="92" t="n">
        <x:f>IF(E375="","",MAX(E375,F375)/MIN(E375,F375))</x:f>
        <x:v>1.2606741426876331</x:v>
      </x:c>
      <x:c r="H375" s="92" t="n">
        <x:f>IF(A375&lt;'拟合与方案'!$C$15,"",SQRT('拟合与方案'!$F$15^2+('拟合与方案'!$G$15*(A375-'拟合与方案'!$H$15))^2))</x:f>
        <x:v>4882.5377353560525</x:v>
      </x:c>
      <x:c r="I375" s="92" t="n">
        <x:f>C375</x:f>
        <x:v>3130.0981774582224</x:v>
      </x:c>
      <x:c r="J375" s="92" t="n">
        <x:f>IF(H375="","",MAX(H375,I375)/MIN(H375,I375))</x:f>
        <x:v>1.5598672816457433</x:v>
      </x:c>
    </x:row>
    <x:row r="376" ht="15" hidden="0" customHeight="1">
      <x:c r="A376" s="92" t="n">
        <x:v>307</x:v>
      </x:c>
      <x:c r="B376" s="92" t="n">
        <x:f>SQRT('拟合与方案'!$B$7^2+('拟合与方案'!$C$7*(A376-'拟合与方案'!$D$7))^2)</x:f>
        <x:v>2981.0144091118227</x:v>
      </x:c>
      <x:c r="C376" s="92" t="n">
        <x:f>SQRT('拟合与方案'!$B$8^2+('拟合与方案'!$C$8*(A376-'拟合与方案'!$D$8))^2)</x:f>
        <x:v>3151.492668169795</x:v>
      </x:c>
      <x:c r="D376" s="92" t="n">
        <x:f>MAX(B376,C376)/MIN(B376,C376)</x:f>
        <x:v>1.0571880023581521</x:v>
      </x:c>
      <x:c r="E376" s="92" t="n">
        <x:f>IF(A376&lt;'拟合与方案'!$C$13,"",SQRT('拟合与方案'!$F$13^2+('拟合与方案'!$G$13*(A376-'拟合与方案'!$H$13))^2))</x:f>
        <x:v>3973.01839858589</x:v>
      </x:c>
      <x:c r="F376" s="92" t="n">
        <x:f>C376</x:f>
        <x:v>3151.492668169795</x:v>
      </x:c>
      <x:c r="G376" s="92" t="n">
        <x:f>IF(E376="","",MAX(E376,F376)/MIN(E376,F376))</x:f>
        <x:v>1.2606782934047533</x:v>
      </x:c>
      <x:c r="H376" s="92" t="n">
        <x:f>IF(A376&lt;'拟合与方案'!$C$15,"",SQRT('拟合与方案'!$F$15^2+('拟合与方案'!$G$15*(A376-'拟合与方案'!$H$15))^2))</x:f>
        <x:v>4916.5046317792985</x:v>
      </x:c>
      <x:c r="I376" s="92" t="n">
        <x:f>C376</x:f>
        <x:v>3151.492668169795</x:v>
      </x:c>
      <x:c r="J376" s="92" t="n">
        <x:f>IF(H376="","",MAX(H376,I376)/MIN(H376,I376))</x:f>
        <x:v>1.5600558685844954</x:v>
      </x:c>
    </x:row>
    <x:row r="377" ht="15" hidden="0" customHeight="1">
      <x:c r="A377" s="92" t="n">
        <x:v>307.5</x:v>
      </x:c>
      <x:c r="B377" s="92" t="n">
        <x:f>SQRT('拟合与方案'!$B$7^2+('拟合与方案'!$C$7*(A377-'拟合与方案'!$D$7))^2)</x:f>
        <x:v>2999.854250300213</x:v>
      </x:c>
      <x:c r="C377" s="92" t="n">
        <x:f>SQRT('拟合与方案'!$B$8^2+('拟合与方案'!$C$8*(A377-'拟合与方案'!$D$8))^2)</x:f>
        <x:v>3172.8911449470165</x:v>
      </x:c>
      <x:c r="D377" s="92" t="n">
        <x:f>MAX(B377,C377)/MIN(B377,C377)</x:f>
        <x:v>1.057681767249021</x:v>
      </x:c>
      <x:c r="E377" s="92" t="n">
        <x:f>IF(A377&lt;'拟合与方案'!$C$13,"",SQRT('拟合与方案'!$F$13^2+('拟合与方案'!$G$13*(A377-'拟合与方案'!$H$13))^2))</x:f>
        <x:v>4000.007894166988</x:v>
      </x:c>
      <x:c r="F377" s="92" t="n">
        <x:f>C377</x:f>
        <x:v>3172.8911449470165</x:v>
      </x:c>
      <x:c r="G377" s="92" t="n">
        <x:f>IF(E377="","",MAX(E377,F377)/MIN(E377,F377))</x:f>
        <x:v>1.260682359222186</x:v>
      </x:c>
      <x:c r="H377" s="92" t="n">
        <x:f>IF(A377&lt;'拟合与方案'!$C$15,"",SQRT('拟合与方案'!$F$15^2+('拟合与方案'!$G$15*(A377-'拟合与方案'!$H$15))^2))</x:f>
        <x:v>4950.474131588946</x:v>
      </x:c>
      <x:c r="I377" s="92" t="n">
        <x:f>C377</x:f>
        <x:v>3172.8911449470165</x:v>
      </x:c>
      <x:c r="J377" s="92" t="n">
        <x:f>IF(H377="","",MAX(H377,I377)/MIN(H377,I377))</x:f>
        <x:v>1.5602407726696885</x:v>
      </x:c>
    </x:row>
    <x:row r="378" ht="15" hidden="0" customHeight="1">
      <x:c r="A378" s="92" t="n">
        <x:v>308</x:v>
      </x:c>
      <x:c r="B378" s="92" t="n">
        <x:f>SQRT('拟合与方案'!$B$7^2+('拟合与方案'!$C$7*(A378-'拟合与方案'!$D$7))^2)</x:f>
        <x:v>3018.70555198891</x:v>
      </x:c>
      <x:c r="C378" s="92" t="n">
        <x:f>SQRT('拟合与方案'!$B$8^2+('拟合与方案'!$C$8*(A378-'拟合与方案'!$D$8))^2)</x:f>
        <x:v>3194.2935276822864</x:v>
      </x:c>
      <x:c r="D378" s="92" t="n">
        <x:f>MAX(B378,C378)/MIN(B378,C378)</x:f>
        <x:v>1.0581666454940224</x:v>
      </x:c>
      <x:c r="E378" s="92" t="n">
        <x:f>IF(A378&lt;'拟合与方案'!$C$13,"",SQRT('拟合与方案'!$F$13^2+('拟合与方案'!$G$13*(A378-'拟合与方案'!$H$13))^2))</x:f>
        <x:v>4027.002223945881</x:v>
      </x:c>
      <x:c r="F378" s="92" t="n">
        <x:f>C378</x:f>
        <x:v>3194.2935276822864</x:v>
      </x:c>
      <x:c r="G378" s="92" t="n">
        <x:f>IF(E378="","",MAX(E378,F378)/MIN(E378,F378))</x:f>
        <x:v>1.260686342393772</x:v>
      </x:c>
      <x:c r="H378" s="92" t="n">
        <x:f>IF(A378&lt;'拟合与方案'!$C$15,"",SQRT('拟合与方案'!$F$15^2+('拟合与方案'!$G$15*(A378-'拟合与方案'!$H$15))^2))</x:f>
        <x:v>4984.446181557979</x:v>
      </x:c>
      <x:c r="I378" s="92" t="n">
        <x:f>C378</x:f>
        <x:v>3194.2935276822864</x:v>
      </x:c>
      <x:c r="J378" s="92" t="n">
        <x:f>IF(H378="","",MAX(H378,I378)/MIN(H378,I378))</x:f>
        <x:v>1.5604220896927372</x:v>
      </x:c>
    </x:row>
    <x:row r="379" ht="15" hidden="0" customHeight="1">
      <x:c r="A379" s="92" t="n">
        <x:v>308.5</x:v>
      </x:c>
      <x:c r="B379" s="92" t="n">
        <x:f>SQRT('拟合与方案'!$B$7^2+('拟合与方案'!$C$7*(A379-'拟合与方案'!$D$7))^2)</x:f>
        <x:v>3037.568100804582</x:v>
      </x:c>
      <x:c r="C379" s="92" t="n">
        <x:f>SQRT('拟合与方案'!$B$8^2+('拟合与方案'!$C$8*(A379-'拟合与方案'!$D$8))^2)</x:f>
        <x:v>3215.6997383862245</x:v>
      </x:c>
      <x:c r="D379" s="92" t="n">
        <x:f>MAX(B379,C379)/MIN(B379,C379)</x:f>
        <x:v>1.0586428457470498</x:v>
      </x:c>
      <x:c r="E379" s="92" t="n">
        <x:f>IF(A379&lt;'拟合与方案'!$C$13,"",SQRT('拟合与方案'!$F$13^2+('拟合与方案'!$G$13*(A379-'拟合与方案'!$H$13))^2))</x:f>
        <x:v>4054.0012913543223</x:v>
      </x:c>
      <x:c r="F379" s="92" t="n">
        <x:f>C379</x:f>
        <x:v>3215.6997383862245</x:v>
      </x:c>
      <x:c r="G379" s="92" t="n">
        <x:f>IF(E379="","",MAX(E379,F379)/MIN(E379,F379))</x:f>
        <x:v>1.2606902451000581</x:v>
      </x:c>
      <x:c r="H379" s="92" t="n">
        <x:f>IF(A379&lt;'拟合与方案'!$C$15,"",SQRT('拟合与方案'!$F$15^2+('拟合与方案'!$G$15*(A379-'拟合与方案'!$H$15))^2))</x:f>
        <x:v>5018.420729896712</x:v>
      </x:c>
      <x:c r="I379" s="92" t="n">
        <x:f>C379</x:f>
        <x:v>3215.6997383862245</x:v>
      </x:c>
      <x:c r="J379" s="92" t="n">
        <x:f>IF(H379="","",MAX(H379,I379)/MIN(H379,I379))</x:f>
        <x:v>1.5605999123584748</x:v>
      </x:c>
    </x:row>
    <x:row r="380" ht="15" hidden="0" customHeight="1">
      <x:c r="A380" s="92" t="n">
        <x:v>309</x:v>
      </x:c>
      <x:c r="B380" s="92" t="n">
        <x:f>SQRT('拟合与方案'!$B$7^2+('拟合与方案'!$C$7*(A380-'拟合与方案'!$D$7))^2)</x:f>
        <x:v>3056.4416885154083</x:v>
      </x:c>
      <x:c r="C380" s="92" t="n">
        <x:f>SQRT('拟合与方案'!$B$8^2+('拟合与方案'!$C$8*(A380-'拟合与方案'!$D$8))^2)</x:f>
        <x:v>3237.109701118585</x:v>
      </x:c>
      <x:c r="D380" s="92" t="n">
        <x:f>MAX(B380,C380)/MIN(B380,C380)</x:f>
        <x:v>1.0591105707274042</x:v>
      </x:c>
      <x:c r="E380" s="92" t="n">
        <x:f>IF(A380&lt;'拟合与方案'!$C$13,"",SQRT('拟合与方案'!$F$13^2+('拟合与方案'!$G$13*(A380-'拟合与方案'!$H$13))^2))</x:f>
        <x:v>4081.0050023628455</x:v>
      </x:c>
      <x:c r="F380" s="92" t="n">
        <x:f>C380</x:f>
        <x:v>3237.109701118585</x:v>
      </x:c>
      <x:c r="G380" s="92" t="n">
        <x:f>IF(E380="","",MAX(E380,F380)/MIN(E380,F380))</x:f>
        <x:v>1.260694069451107</x:v>
      </x:c>
      <x:c r="H380" s="92" t="n">
        <x:f>IF(A380&lt;'拟合与方案'!$C$15,"",SQRT('拟合与方案'!$F$15^2+('拟合与方案'!$G$15*(A380-'拟合与方案'!$H$15))^2))</x:f>
        <x:v>5052.397726204732</x:v>
      </x:c>
      <x:c r="I380" s="92" t="n">
        <x:f>C380</x:f>
        <x:v>3237.109701118585</x:v>
      </x:c>
      <x:c r="J380" s="92" t="n">
        <x:f>IF(H380="","",MAX(H380,I380)/MIN(H380,I380))</x:f>
        <x:v>1.560774330403098</x:v>
      </x:c>
    </x:row>
    <x:row r="381" ht="15" hidden="0" customHeight="1">
      <x:c r="A381" s="92" t="n">
        <x:v>309.5</x:v>
      </x:c>
      <x:c r="B381" s="92" t="n">
        <x:f>SQRT('拟合与方案'!$B$7^2+('拟合与方案'!$C$7*(A381-'拟合与方案'!$D$7))^2)</x:f>
        <x:v>3075.326111880943</x:v>
      </x:c>
      <x:c r="C381" s="92" t="n">
        <x:f>SQRT('拟合与方案'!$B$8^2+('拟合与方案'!$C$8*(A381-'拟合与方案'!$D$8))^2)</x:f>
        <x:v>3258.5233419218293</x:v>
      </x:c>
      <x:c r="D381" s="92" t="n">
        <x:f>MAX(B381,C381)/MIN(B381,C381)</x:f>
        <x:v>1.0595700174147835</x:v>
      </x:c>
      <x:c r="E381" s="92" t="n">
        <x:f>IF(A381&lt;'拟合与方案'!$C$13,"",SQRT('拟合与方案'!$F$13^2+('拟合与方案'!$G$13*(A381-'拟合与方案'!$H$13))^2))</x:f>
        <x:v>4108.0132653984</x:v>
      </x:c>
      <x:c r="F381" s="92" t="n">
        <x:f>C381</x:f>
        <x:v>3258.5233419218293</x:v>
      </x:c>
      <x:c r="G381" s="92" t="n">
        <x:f>IF(E381="","",MAX(E381,F381)/MIN(E381,F381))</x:f>
        <x:v>1.2606978174891803</x:v>
      </x:c>
      <x:c r="H381" s="92" t="n">
        <x:f>IF(A381&lt;'拟合与方案'!$C$15,"",SQRT('拟合与方案'!$F$15^2+('拟合与方案'!$G$15*(A381-'拟合与方案'!$H$15))^2))</x:f>
        <x:v>5086.377121424736</x:v>
      </x:c>
      <x:c r="I381" s="92" t="n">
        <x:f>C381</x:f>
        <x:v>3258.5233419218293</x:v>
      </x:c>
      <x:c r="J381" s="92" t="n">
        <x:f>IF(H381="","",MAX(H381,I381)/MIN(H381,I381))</x:f>
        <x:v>1.5609454307069244</x:v>
      </x:c>
    </x:row>
    <x:row r="382" ht="15" hidden="0" customHeight="1">
      <x:c r="A382" s="92" t="n">
        <x:v>310</x:v>
      </x:c>
      <x:c r="B382" s="92" t="n">
        <x:f>SQRT('拟合与方案'!$B$7^2+('拟合与方案'!$C$7*(A382-'拟合与方案'!$D$7))^2)</x:f>
        <x:v>3094.2211725070756</x:v>
      </x:c>
      <x:c r="C382" s="92" t="n">
        <x:f>SQRT('拟合与方案'!$B$8^2+('拟合与方案'!$C$8*(A382-'拟合与方案'!$D$8))^2)</x:f>
        <x:v>3279.940588757256</x:v>
      </x:c>
      <x:c r="D382" s="92" t="n">
        <x:f>MAX(B382,C382)/MIN(B382,C382)</x:f>
        <x:v>1.060021377237136</x:v>
      </x:c>
      <x:c r="E382" s="92" t="n">
        <x:f>IF(A382&lt;'拟合与方案'!$C$13,"",SQRT('拟合与方案'!$F$13^2+('拟合与方案'!$G$13*(A382-'拟合与方案'!$H$13))^2))</x:f>
        <x:v>4135.025991265169</x:v>
      </x:c>
      <x:c r="F382" s="92" t="n">
        <x:f>C382</x:f>
        <x:v>3279.940588757256</x:v>
      </x:c>
      <x:c r="G382" s="92" t="n">
        <x:f>IF(E382="","",MAX(E382,F382)/MIN(E382,F382))</x:f>
        <x:v>1.260701491191308</x:v>
      </x:c>
      <x:c r="H382" s="92" t="n">
        <x:f>IF(A382&lt;'拟合与方案'!$C$15,"",SQRT('拟合与方案'!$F$15^2+('拟合与方案'!$G$15*(A382-'拟合与方案'!$H$15))^2))</x:f>
        <x:v>5120.3588677982125</x:v>
      </x:c>
      <x:c r="I382" s="92" t="n">
        <x:f>C382</x:f>
        <x:v>3279.940588757256</x:v>
      </x:c>
      <x:c r="J382" s="92" t="n">
        <x:f>IF(H382="","",MAX(H382,I382)/MIN(H382,I382))</x:f>
        <x:v>1.561113297402218</x:v>
      </x:c>
    </x:row>
    <x:row r="383" ht="15" hidden="0" customHeight="1">
      <x:c r="A383" s="92" t="n">
        <x:v>310.5</x:v>
      </x:c>
      <x:c r="B383" s="92" t="n">
        <x:f>SQRT('拟合与方案'!$B$7^2+('拟合与方案'!$C$7*(A383-'拟合与方案'!$D$7))^2)</x:f>
        <x:v>3113.1266767058873</x:v>
      </x:c>
      <x:c r="C383" s="92" t="n">
        <x:f>SQRT('拟合与方案'!$B$8^2+('拟合与方案'!$C$8*(A383-'拟合与方案'!$D$8))^2)</x:f>
        <x:v>3301.3613714435623</x:v>
      </x:c>
      <x:c r="D383" s="92" t="n">
        <x:f>MAX(B383,C383)/MIN(B383,C383)</x:f>
        <x:v>1.0604648362516533</x:v>
      </x:c>
      <x:c r="E383" s="92" t="n">
        <x:f>IF(A383&lt;'拟合与方案'!$C$13,"",SQRT('拟合与方案'!$F$13^2+('拟合与方案'!$G$13*(A383-'拟合与方案'!$H$13))^2))</x:f>
        <x:v>4162.043093068398</x:v>
      </x:c>
      <x:c r="F383" s="92" t="n">
        <x:f>C383</x:f>
        <x:v>3301.3613714435623</x:v>
      </x:c>
      <x:c r="G383" s="92" t="n">
        <x:f>IF(E383="","",MAX(E383,F383)/MIN(E383,F383))</x:f>
        <x:v>1.2607050924717433</x:v>
      </x:c>
      <x:c r="H383" s="92" t="n">
        <x:f>IF(A383&lt;'拟合与方案'!$C$15,"",SQRT('拟合与方案'!$F$15^2+('拟合与方案'!$G$15*(A383-'拟合与方案'!$H$15))^2))</x:f>
        <x:v>5154.342918822839</x:v>
      </x:c>
      <x:c r="I383" s="92" t="n">
        <x:f>C383</x:f>
        <x:v>3301.3613714435623</x:v>
      </x:c>
      <x:c r="J383" s="92" t="n">
        <x:f>IF(H383="","",MAX(H383,I383)/MIN(H383,I383))</x:f>
        <x:v>1.5612780119763252</x:v>
      </x:c>
    </x:row>
    <x:row r="384" ht="15" hidden="0" customHeight="1">
      <x:c r="A384" s="92" t="n">
        <x:v>311</x:v>
      </x:c>
      <x:c r="B384" s="92" t="n">
        <x:f>SQRT('拟合与方案'!$B$7^2+('拟合与方案'!$C$7*(A384-'拟合与方案'!$D$7))^2)</x:f>
        <x:v>3132.042435360207</x:v>
      </x:c>
      <x:c r="C384" s="92" t="n">
        <x:f>SQRT('拟合与方案'!$B$8^2+('拟合与方案'!$C$8*(A384-'拟合与方案'!$D$8))^2)</x:f>
        <x:v>3322.7856215977395</x:v>
      </x:c>
      <x:c r="D384" s="92" t="n">
        <x:f>MAX(B384,C384)/MIN(B384,C384)</x:f>
        <x:v>1.0609005753191834</x:v>
      </x:c>
      <x:c r="E384" s="92" t="n">
        <x:f>IF(A384&lt;'拟合与方案'!$C$13,"",SQRT('拟合与方案'!$F$13^2+('拟合与方案'!$G$13*(A384-'拟合与方案'!$H$13))^2))</x:f>
        <x:v>4189.064486141128</x:v>
      </x:c>
      <x:c r="F384" s="92" t="n">
        <x:f>C384</x:f>
        <x:v>3322.7856215977395</x:v>
      </x:c>
      <x:c r="G384" s="92" t="n">
        <x:f>IF(E384="","",MAX(E384,F384)/MIN(E384,F384))</x:f>
        <x:v>1.260708623184316</x:v>
      </x:c>
      <x:c r="H384" s="92" t="n">
        <x:f>IF(A384&lt;'拟合与方案'!$C$15,"",SQRT('拟合与方案'!$F$15^2+('拟合与方案'!$G$15*(A384-'拟合与方案'!$H$15))^2))</x:f>
        <x:v>5188.329229211563</x:v>
      </x:c>
      <x:c r="I384" s="92" t="n">
        <x:f>C384</x:f>
        <x:v>3322.7856215977395</x:v>
      </x:c>
      <x:c r="J384" s="92" t="n">
        <x:f>IF(H384="","",MAX(H384,I384)/MIN(H384,I384))</x:f>
        <x:v>1.5614396533703516</x:v>
      </x:c>
    </x:row>
    <x:row r="385" ht="15" hidden="0" customHeight="1">
      <x:c r="A385" s="92" t="n">
        <x:v>311.5</x:v>
      </x:c>
      <x:c r="B385" s="92" t="n">
        <x:f>SQRT('拟合与方案'!$B$7^2+('拟合与方案'!$C$7*(A385-'拟合与方案'!$D$7))^2)</x:f>
        <x:v>3150.9682637927067</x:v>
      </x:c>
      <x:c r="C385" s="92" t="n">
        <x:f>SQRT('拟合与方案'!$B$8^2+('拟合与方案'!$C$8*(A385-'拟合与方案'!$D$8))^2)</x:f>
        <x:v>3344.213272578196</x:v>
      </x:c>
      <x:c r="D385" s="92" t="n">
        <x:f>MAX(B385,C385)/MIN(B385,C385)</x:f>
        <x:v>1.0613287702723122</x:v>
      </x:c>
      <x:c r="E385" s="92" t="n">
        <x:f>IF(A385&lt;'拟合与方案'!$C$13,"",SQRT('拟合与方案'!$F$13^2+('拟合与方案'!$G$13*(A385-'拟合与方案'!$H$13))^2))</x:f>
        <x:v>4216.09008797368</x:v>
      </x:c>
      <x:c r="F385" s="92" t="n">
        <x:f>C385</x:f>
        <x:v>3344.213272578196</x:v>
      </x:c>
      <x:c r="G385" s="92" t="n">
        <x:f>IF(E385="","",MAX(E385,F385)/MIN(E385,F385))</x:f>
        <x:v>1.2607120851246778</x:v>
      </x:c>
      <x:c r="H385" s="92" t="n">
        <x:f>IF(A385&lt;'拟合与方案'!$C$15,"",SQRT('拟合与方案'!$F$15^2+('拟合与方案'!$G$15*(A385-'拟合与方案'!$H$15))^2))</x:f>
        <x:v>5222.317754853251</x:v>
      </x:c>
      <x:c r="I385" s="92" t="n">
        <x:f>C385</x:f>
        <x:v>3344.213272578196</x:v>
      </x:c>
      <x:c r="J385" s="92" t="n">
        <x:f>IF(H385="","",MAX(H385,I385)/MIN(H385,I385))</x:f>
        <x:v>1.5615982980735987</x:v>
      </x:c>
    </x:row>
    <x:row r="386" ht="15" hidden="0" customHeight="1">
      <x:c r="A386" s="92" t="n">
        <x:v>312</x:v>
      </x:c>
      <x:c r="B386" s="92" t="n">
        <x:f>SQRT('拟合与方案'!$B$7^2+('拟合与方案'!$C$7*(A386-'拟合与方案'!$D$7))^2)</x:f>
        <x:v>3169.903981639353</x:v>
      </x:c>
      <x:c r="C386" s="92" t="n">
        <x:f>SQRT('拟合与方案'!$B$8^2+('拟合与方案'!$C$8*(A386-'拟合与方案'!$D$8))^2)</x:f>
        <x:v>3365.6442594300115</x:v>
      </x:c>
      <x:c r="D386" s="92" t="n">
        <x:f>MAX(B386,C386)/MIN(B386,C386)</x:f>
        <x:v>1.0617495920773692</x:v>
      </x:c>
      <x:c r="E386" s="92" t="n">
        <x:f>IF(A386&lt;'拟合与方案'!$C$13,"",SQRT('拟合与方案'!$F$13^2+('拟合与方案'!$G$13*(A386-'拟合与方案'!$H$13))^2))</x:f>
        <x:v>4243.119818145793</x:v>
      </x:c>
      <x:c r="F386" s="92" t="n">
        <x:f>C386</x:f>
        <x:v>3365.6442594300115</x:v>
      </x:c>
      <x:c r="G386" s="92" t="n">
        <x:f>IF(E386="","",MAX(E386,F386)/MIN(E386,F386))</x:f>
        <x:v>1.2607154800324578</x:v>
      </x:c>
      <x:c r="H386" s="92" t="n">
        <x:f>IF(A386&lt;'拟合与方案'!$C$15,"",SQRT('拟合与方案'!$F$15^2+('拟合与方案'!$G$15*(A386-'拟合与方案'!$H$15))^2))</x:f>
        <x:v>5256.308452774866</x:v>
      </x:c>
      <x:c r="I386" s="92" t="n">
        <x:f>C386</x:f>
        <x:v>3365.6442594300115</x:v>
      </x:c>
      <x:c r="J386" s="92" t="n">
        <x:f>IF(H386="","",MAX(H386,I386)/MIN(H386,I386))</x:f>
        <x:v>1.5617540202139628</x:v>
      </x:c>
    </x:row>
    <x:row r="387" ht="15" hidden="0" customHeight="1">
      <x:c r="A387" s="92" t="n">
        <x:v>312.5</x:v>
      </x:c>
      <x:c r="B387" s="92" t="n">
        <x:f>SQRT('拟合与方案'!$B$7^2+('拟合与方案'!$C$7*(A387-'拟合与方案'!$D$7))^2)</x:f>
        <x:v>3188.849412727057</x:v>
      </x:c>
      <x:c r="C387" s="92" t="n">
        <x:f>SQRT('拟合与方案'!$B$8^2+('拟合与方案'!$C$8*(A387-'拟合与方案'!$D$8))^2)</x:f>
        <x:v>3387.0785188322325</x:v>
      </x:c>
      <x:c r="D387" s="92" t="n">
        <x:f>MAX(B387,C387)/MIN(B387,C387)</x:f>
        <x:v>1.0621632069905906</x:v>
      </x:c>
      <x:c r="E387" s="92" t="n">
        <x:f>IF(A387&lt;'拟合与方案'!$C$13,"",SQRT('拟合与方案'!$F$13^2+('拟合与方案'!$G$13*(A387-'拟合与方案'!$H$13))^2))</x:f>
        <x:v>4270.153598261294</x:v>
      </x:c>
      <x:c r="F387" s="92" t="n">
        <x:f>C387</x:f>
        <x:v>3387.0785188322325</x:v>
      </x:c>
      <x:c r="G387" s="92" t="n">
        <x:f>IF(E387="","",MAX(E387,F387)/MIN(E387,F387))</x:f>
        <x:v>1.2607188095933248</x:v>
      </x:c>
      <x:c r="H387" s="92" t="n">
        <x:f>IF(A387&lt;'拟合与方案'!$C$15,"",SQRT('拟合与方案'!$F$15^2+('拟合与方案'!$G$15*(A387-'拟合与方案'!$H$15))^2))</x:f>
        <x:v>5290.301281105082</x:v>
      </x:c>
      <x:c r="I387" s="92" t="n">
        <x:f>C387</x:f>
        <x:v>3387.0785188322325</x:v>
      </x:c>
      <x:c r="J387" s="92" t="n">
        <x:f>IF(H387="","",MAX(H387,I387)/MIN(H387,I387))</x:f>
        <x:v>1.561906891644492</x:v>
      </x:c>
    </x:row>
    <x:row r="388" ht="15" hidden="0" customHeight="1">
      <x:c r="A388" s="92" t="n">
        <x:v>313</x:v>
      </x:c>
      <x:c r="B388" s="92" t="n">
        <x:f>SQRT('拟合与方案'!$B$7^2+('拟合与方案'!$C$7*(A388-'拟合与方案'!$D$7))^2)</x:f>
        <x:v>3207.804384955361</x:v>
      </x:c>
      <x:c r="C388" s="92" t="n">
        <x:f>SQRT('拟合与方案'!$B$8^2+('拟合与方案'!$C$8*(A388-'拟合与方案'!$D$8))^2)</x:f>
        <x:v>3408.5159890471164</x:v>
      </x:c>
      <x:c r="D388" s="92" t="n">
        <x:f>MAX(B388,C388)/MIN(B388,C388)</x:f>
        <x:v>1.062569776708672</x:v>
      </x:c>
      <x:c r="E388" s="92" t="n">
        <x:f>IF(A388&lt;'拟合与方案'!$C$13,"",SQRT('拟合与方案'!$F$13^2+('拟合与方案'!$G$13*(A388-'拟合与方案'!$H$13))^2))</x:f>
        <x:v>4297.191351885179</x:v>
      </x:c>
      <x:c r="F388" s="92" t="n">
        <x:f>C388</x:f>
        <x:v>3408.5159890471164</x:v>
      </x:c>
      <x:c r="G388" s="92" t="n">
        <x:f>IF(E388="","",MAX(E388,F388)/MIN(E388,F388))</x:f>
        <x:v>1.2607220754409605</x:v>
      </x:c>
      <x:c r="H388" s="92" t="n">
        <x:f>IF(A388&lt;'拟合与方案'!$C$15,"",SQRT('拟合与方案'!$F$15^2+('拟合与方案'!$G$15*(A388-'拟合与方案'!$H$15))^2))</x:f>
        <x:v>5324.296199039286</x:v>
      </x:c>
      <x:c r="I388" s="92" t="n">
        <x:f>C388</x:f>
        <x:v>3408.5159890471164</x:v>
      </x:c>
      <x:c r="J388" s="92" t="n">
        <x:f>IF(H388="","",MAX(H388,I388)/MIN(H388,I388))</x:f>
        <x:v>1.5620569820262877</x:v>
      </x:c>
    </x:row>
    <x:row r="389" ht="15" hidden="0" customHeight="1">
      <x:c r="A389" s="92" t="n">
        <x:v>313.5</x:v>
      </x:c>
      <x:c r="B389" s="92" t="n">
        <x:f>SQRT('拟合与方案'!$B$7^2+('拟合与方案'!$C$7*(A389-'拟合与方案'!$D$7))^2)</x:f>
        <x:v>3226.768730182016</x:v>
      </x:c>
      <x:c r="C389" s="92" t="n">
        <x:f>SQRT('拟合与方案'!$B$8^2+('拟合与方案'!$C$8*(A389-'拟合与方案'!$D$8))^2)</x:f>
        <x:v>3429.9566098712485</x:v>
      </x:c>
      <x:c r="D389" s="92" t="n">
        <x:f>MAX(B389,C389)/MIN(B389,C389)</x:f>
        <x:v>1.0629694585139267</x:v>
      </x:c>
      <x:c r="E389" s="92" t="n">
        <x:f>IF(A389&lt;'拟合与方案'!$C$13,"",SQRT('拟合与方案'!$F$13^2+('拟合与方案'!$G$13*(A389-'拟合与方案'!$H$13))^2))</x:f>
        <x:v>4324.233004483022</x:v>
      </x:c>
      <x:c r="F389" s="92" t="n">
        <x:f>C389</x:f>
        <x:v>3429.9566098712485</x:v>
      </x:c>
      <x:c r="G389" s="92" t="n">
        <x:f>IF(E389="","",MAX(E389,F389)/MIN(E389,F389))</x:f>
        <x:v>1.260725279158952</x:v>
      </x:c>
      <x:c r="H389" s="92" t="n">
        <x:f>IF(A389&lt;'拟合与方案'!$C$15,"",SQRT('拟合与方案'!$F$15^2+('拟合与方案'!$G$15*(A389-'拟合与方案'!$H$15))^2))</x:f>
        <x:v>5358.2931668059055</x:v>
      </x:c>
      <x:c r="I389" s="92" t="n">
        <x:f>C389</x:f>
        <x:v>3429.9566098712485</x:v>
      </x:c>
      <x:c r="J389" s="92" t="n">
        <x:f>IF(H389="","",MAX(H389,I389)/MIN(H389,I389))</x:f>
        <x:v>1.5622043589079226</x:v>
      </x:c>
    </x:row>
    <x:row r="390" ht="15" hidden="0" customHeight="1">
      <x:c r="A390" s="92" t="n">
        <x:v>314</x:v>
      </x:c>
      <x:c r="B390" s="92" t="n">
        <x:f>SQRT('拟合与方案'!$B$7^2+('拟合与方案'!$C$7*(A390-'拟合与方案'!$D$7))^2)</x:f>
        <x:v>3245.7422841123034</x:v>
      </x:c>
      <x:c r="C390" s="92" t="n">
        <x:f>SQRT('拟合与方案'!$B$8^2+('拟合与方案'!$C$8*(A390-'拟合与方案'!$D$8))^2)</x:f>
        <x:v>3451.4003225884458</x:v>
      </x:c>
      <x:c r="D390" s="92" t="n">
        <x:f>MAX(B390,C390)/MIN(B390,C390)</x:f>
        <x:v>1.0633624054142639</x:v>
      </x:c>
      <x:c r="E390" s="92" t="n">
        <x:f>IF(A390&lt;'拟合与方案'!$C$13,"",SQRT('拟合与方案'!$F$13^2+('拟合与方案'!$G$13*(A390-'拟合与方案'!$H$13))^2))</x:f>
        <x:v>4351.278483362605</x:v>
      </x:c>
      <x:c r="F390" s="92" t="n">
        <x:f>C390</x:f>
        <x:v>3451.4003225884458</x:v>
      </x:c>
      <x:c r="G390" s="92" t="n">
        <x:f>IF(E390="","",MAX(E390,F390)/MIN(E390,F390))</x:f>
        <x:v>1.260728422282605</x:v>
      </x:c>
      <x:c r="H390" s="92" t="n">
        <x:f>IF(A390&lt;'拟合与方案'!$C$15,"",SQRT('拟合与方案'!$F$15^2+('拟合与方案'!$G$15*(A390-'拟合与方案'!$H$15))^2))</x:f>
        <x:v>5392.2921456339955</x:v>
      </x:c>
      <x:c r="I390" s="92" t="n">
        <x:f>C390</x:f>
        <x:v>3451.4003225884458</x:v>
      </x:c>
      <x:c r="J390" s="92" t="n">
        <x:f>IF(H390="","",MAX(H390,I390)/MIN(H390,I390))</x:f>
        <x:v>1.562349087801539</x:v>
      </x:c>
    </x:row>
    <x:row r="391" ht="15" hidden="0" customHeight="1">
      <x:c r="A391" s="92" t="n">
        <x:v>314.5</x:v>
      </x:c>
      <x:c r="B391" s="92" t="n">
        <x:f>SQRT('拟合与方案'!$B$7^2+('拟合与方案'!$C$7*(A391-'拟合与方案'!$D$7))^2)</x:f>
        <x:v>3264.724886191962</x:v>
      </x:c>
      <x:c r="C391" s="92" t="n">
        <x:f>SQRT('拟合与方案'!$B$8^2+('拟合与方案'!$C$8*(A391-'拟合与方案'!$D$8))^2)</x:f>
        <x:v>3472.847069924376</x:v>
      </x:c>
      <x:c r="D391" s="92" t="n">
        <x:f>MAX(B391,C391)/MIN(B391,C391)</x:f>
        <x:v>1.0637487662781815</x:v>
      </x:c>
      <x:c r="E391" s="92" t="n">
        <x:f>IF(A391&lt;'拟合与方案'!$C$13,"",SQRT('拟合与方案'!$F$13^2+('拟合与方案'!$G$13*(A391-'拟合与方案'!$H$13))^2))</x:f>
        <x:v>4378.327717617661</x:v>
      </x:c>
      <x:c r="F391" s="92" t="n">
        <x:f>C391</x:f>
        <x:v>3472.847069924376</x:v>
      </x:c>
      <x:c r="G391" s="92" t="n">
        <x:f>IF(E391="","",MAX(E391,F391)/MIN(E391,F391))</x:f>
        <x:v>1.2607315063006799</x:v>
      </x:c>
      <x:c r="H391" s="92" t="n">
        <x:f>IF(A391&lt;'拟合与方案'!$C$15,"",SQRT('拟合与方案'!$F$15^2+('拟合与方案'!$G$15*(A391-'拟合与方案'!$H$15))^2))</x:f>
        <x:v>5426.29309772204</x:v>
      </x:c>
      <x:c r="I391" s="92" t="n">
        <x:f>C391</x:f>
        <x:v>3472.847069924376</x:v>
      </x:c>
      <x:c r="J391" s="92" t="n">
        <x:f>IF(H391="","",MAX(H391,I391)/MIN(H391,I391))</x:f>
        <x:v>1.562491232255788</x:v>
      </x:c>
    </x:row>
    <x:row r="392" ht="15" hidden="0" customHeight="1">
      <x:c r="A392" s="92" t="n">
        <x:v>315</x:v>
      </x:c>
      <x:c r="B392" s="92" t="n">
        <x:f>SQRT('拟合与方案'!$B$7^2+('拟合与方案'!$C$7*(A392-'拟合与方案'!$D$7))^2)</x:f>
        <x:v>3283.7163795035885</x:v>
      </x:c>
      <x:c r="C392" s="92" t="n">
        <x:f>SQRT('拟合与方案'!$B$8^2+('拟合与方案'!$C$8*(A392-'拟合与方案'!$D$8))^2)</x:f>
        <x:v>3494.296796002817</x:v>
      </x:c>
      <x:c r="D392" s="92" t="n">
        <x:f>MAX(B392,C392)/MIN(B392,C392)</x:f>
        <x:v>1.0641286859649743</x:v>
      </x:c>
      <x:c r="E392" s="92" t="n">
        <x:f>IF(A392&lt;'拟合与方案'!$C$13,"",SQRT('拟合与方案'!$F$13^2+('拟合与方案'!$G$13*(A392-'拟合与方案'!$H$13))^2))</x:f>
        <x:v>4405.3806380736705</x:v>
      </x:c>
      <x:c r="F392" s="92" t="n">
        <x:f>C392</x:f>
        <x:v>3494.296796002817</x:v>
      </x:c>
      <x:c r="G392" s="92" t="n">
        <x:f>IF(E392="","",MAX(E392,F392)/MIN(E392,F392))</x:f>
        <x:v>1.2607345326570591</x:v>
      </x:c>
      <x:c r="H392" s="92" t="n">
        <x:f>IF(A392&lt;'拟合与方案'!$C$15,"",SQRT('拟合与方案'!$F$15^2+('拟合与方案'!$G$15*(A392-'拟合与方案'!$H$15))^2))</x:f>
        <x:v>5460.295986207907</x:v>
      </x:c>
      <x:c r="I392" s="92" t="n">
        <x:f>C392</x:f>
        <x:v>3494.296796002817</x:v>
      </x:c>
      <x:c r="J392" s="92" t="n">
        <x:f>IF(H392="","",MAX(H392,I392)/MIN(H392,I392))</x:f>
        <x:v>1.5626308539257538</x:v>
      </x:c>
    </x:row>
    <x:row r="393" ht="15" hidden="0" customHeight="1">
      <x:c r="A393" s="92" t="n">
        <x:v>315.5</x:v>
      </x:c>
      <x:c r="B393" s="92" t="n">
        <x:f>SQRT('拟合与方案'!$B$7^2+('拟合与方案'!$C$7*(A393-'拟合与方案'!$D$7))^2)</x:f>
        <x:v>3302.716610666387</x:v>
      </x:c>
      <x:c r="C393" s="92" t="n">
        <x:f>SQRT('拟合与方案'!$B$8^2+('拟合与方案'!$C$8*(A393-'拟合与方案'!$D$8))^2)</x:f>
        <x:v>3515.7494463034923</x:v>
      </x:c>
      <x:c r="D393" s="92" t="n">
        <x:f>MAX(B393,C393)/MIN(B393,C393)</x:f>
        <x:v>1.064502305450337</x:v>
      </x:c>
      <x:c r="E393" s="92" t="n">
        <x:f>IF(A393&lt;'拟合与方案'!$C$13,"",SQRT('拟合与方案'!$F$13^2+('拟合与方案'!$G$13*(A393-'拟合与方案'!$H$13))^2))</x:f>
        <x:v>4432.437177235601</x:v>
      </x:c>
      <x:c r="F393" s="92" t="n">
        <x:f>C393</x:f>
        <x:v>3515.7494463034923</x:v>
      </x:c>
      <x:c r="G393" s="92" t="n">
        <x:f>IF(E393="","",MAX(E393,F393)/MIN(E393,F393))</x:f>
        <x:v>1.260737502752344</x:v>
      </x:c>
      <x:c r="H393" s="92" t="n">
        <x:f>IF(A393&lt;'拟合与方案'!$C$15,"",SQRT('拟合与方案'!$F$15^2+('拟合与方案'!$G$15*(A393-'拟合与方案'!$H$15))^2))</x:f>
        <x:v>5494.300775139914</x:v>
      </x:c>
      <x:c r="I393" s="92" t="n">
        <x:f>C393</x:f>
        <x:v>3515.7494463034923</x:v>
      </x:c>
      <x:c r="J393" s="92" t="n">
        <x:f>IF(H393="","",MAX(H393,I393)/MIN(H393,I393))</x:f>
        <x:v>1.562768012640007</x:v>
      </x:c>
    </x:row>
    <x:row r="394" ht="15" hidden="0" customHeight="1">
      <x:c r="A394" s="92" t="n">
        <x:v>316</x:v>
      </x:c>
      <x:c r="B394" s="92" t="n">
        <x:f>SQRT('拟合与方案'!$B$7^2+('拟合与方案'!$C$7*(A394-'拟合与方案'!$D$7))^2)</x:f>
        <x:v>3321.725429739137</x:v>
      </x:c>
      <x:c r="C394" s="92" t="n">
        <x:f>SQRT('拟合与方案'!$B$8^2+('拟合与方案'!$C$8*(A394-'拟合与方案'!$D$8))^2)</x:f>
        <x:v>3537.204967621414</x:v>
      </x:c>
      <x:c r="D394" s="92" t="n">
        <x:f>MAX(B394,C394)/MIN(B394,C394)</x:f>
        <x:v>1.064869761947543</x:v>
      </x:c>
      <x:c r="E394" s="92" t="n">
        <x:f>IF(A394&lt;'拟合与方案'!$C$13,"",SQRT('拟合与方案'!$F$13^2+('拟合与方案'!$G$13*(A394-'拟合与方案'!$H$13))^2))</x:f>
        <x:v>4459.497269237511</x:v>
      </x:c>
      <x:c r="F394" s="92" t="n">
        <x:f>C394</x:f>
        <x:v>3537.204967621414</x:v>
      </x:c>
      <x:c r="G394" s="92" t="n">
        <x:f>IF(E394="","",MAX(E394,F394)/MIN(E394,F394))</x:f>
        <x:v>1.2607404179453843</x:v>
      </x:c>
      <x:c r="H394" s="92" t="n">
        <x:f>IF(A394&lt;'拟合与方案'!$C$15,"",SQRT('拟合与方案'!$F$15^2+('拟合与方案'!$G$15*(A394-'拟合与方案'!$H$15))^2))</x:f>
        <x:v>5528.3074294489525</x:v>
      </x:c>
      <x:c r="I394" s="92" t="n">
        <x:f>C394</x:f>
        <x:v>3537.204967621414</x:v>
      </x:c>
      <x:c r="J394" s="92" t="n">
        <x:f>IF(H394="","",MAX(H394,I394)/MIN(H394,I394))</x:f>
        <x:v>1.5629027664649162</x:v>
      </x:c>
    </x:row>
    <x:row r="395" ht="15" hidden="0" customHeight="1">
      <x:c r="A395" s="92" t="n">
        <x:v>316.5</x:v>
      </x:c>
      <x:c r="B395" s="92" t="n">
        <x:f>SQRT('拟合与方案'!$B$7^2+('拟合与方案'!$C$7*(A395-'拟合与方案'!$D$7))^2)</x:f>
        <x:v>3340.7426901262697</x:v>
      </x:c>
      <x:c r="C395" s="92" t="n">
        <x:f>SQRT('拟合与方案'!$B$8^2+('拟合与方案'!$C$8*(A395-'拟合与方案'!$D$8))^2)</x:f>
        <x:v>3558.6633080276697</x:v>
      </x:c>
      <x:c r="D395" s="92" t="n">
        <x:f>MAX(B395,C395)/MIN(B395,C395)</x:f>
        <x:v>1.0652311890243673</x:v>
      </x:c>
      <x:c r="E395" s="92" t="n">
        <x:f>IF(A395&lt;'拟合与方案'!$C$13,"",SQRT('拟合与方案'!$F$13^2+('拟合与方案'!$G$13*(A395-'拟合与方案'!$H$13))^2))</x:f>
        <x:v>4486.560849793965</x:v>
      </x:c>
      <x:c r="F395" s="92" t="n">
        <x:f>C395</x:f>
        <x:v>3558.6633080276697</x:v>
      </x:c>
      <x:c r="G395" s="92" t="n">
        <x:f>IF(E395="","",MAX(E395,F395)/MIN(E395,F395))</x:f>
        <x:v>1.2607432795547513</x:v>
      </x:c>
      <x:c r="H395" s="92" t="n">
        <x:f>IF(A395&lt;'拟合与方案'!$C$15,"",SQRT('拟合与方案'!$F$15^2+('拟合与方案'!$G$15*(A395-'拟合与方案'!$H$15))^2))</x:f>
        <x:v>5562.315914921632</x:v>
      </x:c>
      <x:c r="I395" s="92" t="n">
        <x:f>C395</x:f>
        <x:v>3558.6633080276697</x:v>
      </x:c>
      <x:c r="J395" s="92" t="n">
        <x:f>IF(H395="","",MAX(H395,I395)/MIN(H395,I395))</x:f>
        <x:v>1.5630351717663489</x:v>
      </x:c>
    </x:row>
    <x:row r="396" ht="15" hidden="0" customHeight="1">
      <x:c r="A396" s="92" t="n">
        <x:v>317</x:v>
      </x:c>
      <x:c r="B396" s="92" t="n">
        <x:f>SQRT('拟合与方案'!$B$7^2+('拟合与方案'!$C$7*(A396-'拟合与方案'!$D$7))^2)</x:f>
        <x:v>3359.7682484869456</x:v>
      </x:c>
      <x:c r="C396" s="92" t="n">
        <x:f>SQRT('拟合与方案'!$B$8^2+('拟合与方案'!$C$8*(A396-'拟合与方案'!$D$8))^2)</x:f>
        <x:v>3580.1244168316</x:v>
      </x:c>
      <x:c r="D396" s="92" t="n">
        <x:f>MAX(B396,C396)/MIN(B396,C396)</x:f>
        <x:v>1.0655867167159194</x:v>
      </x:c>
      <x:c r="E396" s="92" t="n">
        <x:f>IF(A396&lt;'拟合与方案'!$C$13,"",SQRT('拟合与方案'!$F$13^2+('拟合与方案'!$G$13*(A396-'拟合与方案'!$H$13))^2))</x:f>
        <x:v>4513.627856153149</x:v>
      </x:c>
      <x:c r="F396" s="92" t="n">
        <x:f>C396</x:f>
        <x:v>3580.1244168316</x:v>
      </x:c>
      <x:c r="G396" s="92" t="n">
        <x:f>IF(E396="","",MAX(E396,F396)/MIN(E396,F396))</x:f>
        <x:v>1.2607460888601456</x:v>
      </x:c>
      <x:c r="H396" s="92" t="n">
        <x:f>IF(A396&lt;'拟合与方案'!$C$15,"",SQRT('拟合与方案'!$F$15^2+('拟合与方案'!$G$15*(A396-'拟合与方案'!$H$15))^2))</x:f>
        <x:v>5596.326198174389</x:v>
      </x:c>
      <x:c r="I396" s="92" t="n">
        <x:f>C396</x:f>
        <x:v>3580.1244168316</x:v>
      </x:c>
      <x:c r="J396" s="92" t="n">
        <x:f>IF(H396="","",MAX(H396,I396)/MIN(H396,I396))</x:f>
        <x:v>1.5631652832688765</x:v>
      </x:c>
    </x:row>
    <x:row r="397" ht="15" hidden="0" customHeight="1">
      <x:c r="A397" s="92" t="n">
        <x:v>317.5</x:v>
      </x:c>
      <x:c r="B397" s="92" t="n">
        <x:f>SQRT('拟合与方案'!$B$7^2+('拟合与方案'!$C$7*(A397-'拟合与方案'!$D$7))^2)</x:f>
        <x:v>3378.801964647002</x:v>
      </x:c>
      <x:c r="C397" s="92" t="n">
        <x:f>SQRT('拟合与方案'!$B$8^2+('拟合与方案'!$C$8*(A397-'拟合与方案'!$D$8))^2)</x:f>
        <x:v>3601.588244544301</x:v>
      </x:c>
      <x:c r="D397" s="92" t="n">
        <x:f>MAX(B397,C397)/MIN(B397,C397)</x:f>
        <x:v>1.0659364716335407</x:v>
      </x:c>
      <x:c r="E397" s="92" t="n">
        <x:f>IF(A397&lt;'拟合与方案'!$C$13,"",SQRT('拟合与方案'!$F$13^2+('拟合与方案'!$G$13*(A397-'拟合与方案'!$H$13))^2))</x:f>
        <x:v>4540.698227051651</x:v>
      </x:c>
      <x:c r="F397" s="92" t="n">
        <x:f>C397</x:f>
        <x:v>3601.588244544301</x:v>
      </x:c>
      <x:c r="G397" s="92" t="n">
        <x:f>IF(E397="","",MAX(E397,F397)/MIN(E397,F397))</x:f>
        <x:v>1.2607488471037513</x:v>
      </x:c>
      <x:c r="H397" s="92" t="n">
        <x:f>IF(A397&lt;'拟合与方案'!$C$15,"",SQRT('拟合与方案'!$F$15^2+('拟合与方案'!$G$15*(A397-'拟合与方案'!$H$15))^2))</x:f>
        <x:v>5630.338246628536</x:v>
      </x:c>
      <x:c r="I397" s="92" t="n">
        <x:f>C397</x:f>
        <x:v>3601.588244544301</x:v>
      </x:c>
      <x:c r="J397" s="92" t="n">
        <x:f>IF(H397="","",MAX(H397,I397)/MIN(H397,I397))</x:f>
        <x:v>1.5632931541126038</x:v>
      </x:c>
    </x:row>
    <x:row r="398" ht="15" hidden="0" customHeight="1">
      <x:c r="A398" s="92" t="n">
        <x:v>318</x:v>
      </x:c>
      <x:c r="B398" s="92" t="n">
        <x:f>SQRT('拟合与方案'!$B$7^2+('拟合与方案'!$C$7*(A398-'拟合与方案'!$D$7))^2)</x:f>
        <x:v>3397.843701513699</x:v>
      </x:c>
      <x:c r="C398" s="92" t="n">
        <x:f>SQRT('拟合与方案'!$B$8^2+('拟合与方案'!$C$8*(A398-'拟合与方案'!$D$8))^2)</x:f>
        <x:v>3623.0547428434106</x:v>
      </x:c>
      <x:c r="D398" s="92" t="n">
        <x:f>MAX(B398,C398)/MIN(B398,C398)</x:f>
        <x:v>1.066280577069917</x:v>
      </x:c>
      <x:c r="E398" s="92" t="n">
        <x:f>IF(A398&lt;'拟合与方案'!$C$13,"",SQRT('拟合与方案'!$F$13^2+('拟合与方案'!$G$13*(A398-'拟合与方案'!$H$13))^2))</x:f>
        <x:v>4567.771902670814</x:v>
      </x:c>
      <x:c r="F398" s="92" t="n">
        <x:f>C398</x:f>
        <x:v>3623.0547428434106</x:v>
      </x:c>
      <x:c r="G398" s="92" t="n">
        <x:f>IF(E398="","",MAX(E398,F398)/MIN(E398,F398))</x:f>
        <x:v>1.2607515554915352</x:v>
      </x:c>
      <x:c r="H398" s="92" t="n">
        <x:f>IF(A398&lt;'拟合与方案'!$C$15,"",SQRT('拟合与方案'!$F$15^2+('拟合与方案'!$G$15*(A398-'拟合与方案'!$H$15))^2))</x:f>
        <x:v>5664.352028486201</x:v>
      </x:c>
      <x:c r="I398" s="92" t="n">
        <x:f>C398</x:f>
        <x:v>3623.0547428434106</x:v>
      </x:c>
      <x:c r="J398" s="92" t="n">
        <x:f>IF(H398="","",MAX(H398,I398)/MIN(H398,I398))</x:f>
        <x:v>1.5634188359077232</x:v>
      </x:c>
    </x:row>
    <x:row r="399" ht="15" hidden="0" customHeight="1">
      <x:c r="A399" s="92" t="n">
        <x:v>318.5</x:v>
      </x:c>
      <x:c r="B399" s="92" t="n">
        <x:f>SQRT('拟合与方案'!$B$7^2+('拟合与方案'!$C$7*(A399-'拟合与方案'!$D$7))^2)</x:f>
        <x:v>3416.893324993139</x:v>
      </x:c>
      <x:c r="C399" s="92" t="n">
        <x:f>SQRT('拟合与方案'!$B$8^2+('拟合与方案'!$C$8*(A399-'拟合与方案'!$D$8))^2)</x:f>
        <x:v>3644.523864539111</x:v>
      </x:c>
      <x:c r="D399" s="92" t="n">
        <x:f>MAX(B399,C399)/MIN(B399,C399)</x:f>
        <x:v>1.066619153100552</x:v>
      </x:c>
      <x:c r="E399" s="92" t="n">
        <x:f>IF(A399&lt;'拟合与方案'!$C$13,"",SQRT('拟合与方案'!$F$13^2+('拟合与方案'!$G$13*(A399-'拟合与方案'!$H$13))^2))</x:f>
        <x:v>4594.848824594612</x:v>
      </x:c>
      <x:c r="F399" s="92" t="n">
        <x:f>C399</x:f>
        <x:v>3644.523864539111</x:v>
      </x:c>
      <x:c r="G399" s="92" t="n">
        <x:f>IF(E399="","",MAX(E399,F399)/MIN(E399,F399))</x:f>
        <x:v>1.2607542151944942</x:v>
      </x:c>
      <x:c r="H399" s="92" t="n">
        <x:f>IF(A399&lt;'拟合与方案'!$C$15,"",SQRT('拟合与方案'!$F$15^2+('拟合与方案'!$G$15*(A399-'拟合与方案'!$H$15))^2))</x:f>
        <x:v>5698.36751270712</x:v>
      </x:c>
      <x:c r="I399" s="92" t="n">
        <x:f>C399</x:f>
        <x:v>3644.523864539111</x:v>
      </x:c>
      <x:c r="J399" s="92" t="n">
        <x:f>IF(H399="","",MAX(H399,I399)/MIN(H399,I399))</x:f>
        <x:v>1.5635423787869036</x:v>
      </x:c>
    </x:row>
    <x:row r="400" ht="15" hidden="0" customHeight="1">
      <x:c r="A400" s="92" t="n">
        <x:v>319</x:v>
      </x:c>
      <x:c r="B400" s="92" t="n">
        <x:f>SQRT('拟合与方案'!$B$7^2+('拟合与方案'!$C$7*(A400-'拟合与方案'!$D$7))^2)</x:f>
        <x:v>3435.9507039102714</x:v>
      </x:c>
      <x:c r="C400" s="92" t="n">
        <x:f>SQRT('拟合与方案'!$B$8^2+('拟合与方案'!$C$8*(A400-'拟合与方案'!$D$8))^2)</x:f>
        <x:v>3665.995563541314</x:v>
      </x:c>
      <x:c r="D400" s="92" t="n">
        <x:f>MAX(B400,C400)/MIN(B400,C400)</x:f>
        <x:v>1.0669523166817385</x:v>
      </x:c>
      <x:c r="E400" s="92" t="n">
        <x:f>IF(A400&lt;'拟合与方案'!$C$13,"",SQRT('拟合与方案'!$F$13^2+('拟合与方案'!$G$13*(A400-'拟合与方案'!$H$13))^2))</x:f>
        <x:v>4621.928935768987</x:v>
      </x:c>
      <x:c r="F400" s="92" t="n">
        <x:f>C400</x:f>
        <x:v>3665.995563541314</x:v>
      </x:c>
      <x:c r="G400" s="92" t="n">
        <x:f>IF(E400="","",MAX(E400,F400)/MIN(E400,F400))</x:f>
        <x:v>1.260756827349854</x:v>
      </x:c>
      <x:c r="H400" s="92" t="n">
        <x:f>IF(A400&lt;'拟合与方案'!$C$15,"",SQRT('拟合与方案'!$F$15^2+('拟合与方案'!$G$15*(A400-'拟合与方案'!$H$15))^2))</x:f>
        <x:v>5732.384668986257</x:v>
      </x:c>
      <x:c r="I400" s="92" t="n">
        <x:f>C400</x:f>
        <x:v>3665.995563541314</x:v>
      </x:c>
      <x:c r="J400" s="92" t="n">
        <x:f>IF(H400="","",MAX(H400,I400)/MIN(H400,I400))</x:f>
        <x:v>1.563663831455604</x:v>
      </x:c>
    </x:row>
    <x:row r="401" ht="15" hidden="0" customHeight="1">
      <x:c r="A401" s="92" t="n">
        <x:v>319.5</x:v>
      </x:c>
      <x:c r="B401" s="92" t="n">
        <x:f>SQRT('拟合与方案'!$B$7^2+('拟合与方案'!$C$7*(A401-'拟合与方案'!$D$7))^2)</x:f>
        <x:v>3455.015709931401</x:v>
      </x:c>
      <x:c r="C401" s="92" t="n">
        <x:f>SQRT('拟合与方案'!$B$8^2+('拟合与方案'!$C$8*(A401-'拟合与方案'!$D$8))^2)</x:f>
        <x:v>3687.469794827969</x:v>
      </x:c>
      <x:c r="D401" s="92" t="n">
        <x:f>MAX(B401,C401)/MIN(B401,C401)</x:f>
        <x:v>1.06728018174516</x:v>
      </x:c>
      <x:c r="E401" s="92" t="n">
        <x:f>IF(A401&lt;'拟合与方案'!$C$13,"",SQRT('拟合与方案'!$F$13^2+('拟合与方案'!$G$13*(A401-'拟合与方案'!$H$13))^2))</x:f>
        <x:v>4649.012180462575</x:v>
      </x:c>
      <x:c r="F401" s="92" t="n">
        <x:f>C401</x:f>
        <x:v>3687.469794827969</x:v>
      </x:c>
      <x:c r="G401" s="92" t="n">
        <x:f>IF(E401="","",MAX(E401,F401)/MIN(E401,F401))</x:f>
        <x:v>1.260759393062219</x:v>
      </x:c>
      <x:c r="H401" s="92" t="n">
        <x:f>IF(A401&lt;'拟合与方案'!$C$15,"",SQRT('拟合与方案'!$F$15^2+('拟合与方案'!$G$15*(A401-'拟合与方案'!$H$15))^2))</x:f>
        <x:v>5766.403467732203</x:v>
      </x:c>
      <x:c r="I401" s="92" t="n">
        <x:f>C401</x:f>
        <x:v>3687.469794827969</x:v>
      </x:c>
      <x:c r="J401" s="92" t="n">
        <x:f>IF(H401="","",MAX(H401,I401)/MIN(H401,I401))</x:f>
        <x:v>1.5637832412404133</x:v>
      </x:c>
    </x:row>
    <x:row r="402" ht="15" hidden="0" customHeight="1">
      <x:c r="A402" s="92" t="n">
        <x:v>320</x:v>
      </x:c>
      <x:c r="B402" s="92" t="n">
        <x:f>SQRT('拟合与方案'!$B$7^2+('拟合与方案'!$C$7*(A402-'拟合与方案'!$D$7))^2)</x:f>
        <x:v>3474.0882174890944</x:v>
      </x:c>
      <x:c r="C402" s="92" t="n">
        <x:f>SQRT('拟合与方案'!$B$8^2+('拟合与方案'!$C$8*(A402-'拟合与方案'!$D$8))^2)</x:f>
        <x:v>3708.946514414463</x:v>
      </x:c>
      <x:c r="D402" s="92" t="n">
        <x:f>MAX(B402,C402)/MIN(B402,C402)</x:f>
        <x:v>1.0676028592892535</x:v>
      </x:c>
      <x:c r="E402" s="92" t="n">
        <x:f>IF(A402&lt;'拟合与方案'!$C$13,"",SQRT('拟合与方案'!$F$13^2+('拟合与方案'!$G$13*(A402-'拟合与方案'!$H$13))^2))</x:f>
        <x:v>4676.098504228792</x:v>
      </x:c>
      <x:c r="F402" s="92" t="n">
        <x:f>C402</x:f>
        <x:v>3708.946514414463</x:v>
      </x:c>
      <x:c r="G402" s="92" t="n">
        <x:f>IF(E402="","",MAX(E402,F402)/MIN(E402,F402))</x:f>
        <x:v>1.2607619134046788</x:v>
      </x:c>
      <x:c r="H402" s="92" t="n">
        <x:f>IF(A402&lt;'拟合与方案'!$C$15,"",SQRT('拟合与方案'!$F$15^2+('拟合与方案'!$G$15*(A402-'拟合与方案'!$H$15))^2))</x:f>
        <x:v>5800.423880046339</x:v>
      </x:c>
      <x:c r="I402" s="92" t="n">
        <x:f>C402</x:f>
        <x:v>3708.946514414463</x:v>
      </x:c>
      <x:c r="J402" s="92" t="n">
        <x:f>IF(H402="","",MAX(H402,I402)/MIN(H402,I402))</x:f>
        <x:v>1.563900654135494</x:v>
      </x:c>
    </x:row>
    <x:row r="403" ht="15" hidden="0" customHeight="1">
      <x:c r="A403" s="92" t="n">
        <x:v>320.5</x:v>
      </x:c>
      <x:c r="B403" s="92" t="n">
        <x:f>SQRT('拟合与方案'!$B$7^2+('拟合与方案'!$C$7*(A403-'拟合与方案'!$D$7))^2)</x:f>
        <x:v>3493.16810370941</x:v>
      </x:c>
      <x:c r="C403" s="92" t="n">
        <x:f>SQRT('拟合与方案'!$B$8^2+('拟合与方案'!$C$8*(A403-'拟合与方案'!$D$8))^2)</x:f>
        <x:v>3730.4256793240493</x:v>
      </x:c>
      <x:c r="D403" s="92" t="n">
        <x:f>MAX(B403,C403)/MIN(B403,C403)</x:f>
        <x:v>1.0679204574674475</x:v>
      </x:c>
      <x:c r="E403" s="92" t="n">
        <x:f>IF(A403&lt;'拟合与方案'!$C$13,"",SQRT('拟合与方案'!$F$13^2+('拟合与方案'!$G$13*(A403-'拟合与方案'!$H$13))^2))</x:f>
        <x:v>4703.187853869194</x:v>
      </x:c>
      <x:c r="F403" s="92" t="n">
        <x:f>C403</x:f>
        <x:v>3730.4256793240493</x:v>
      </x:c>
      <x:c r="G403" s="92" t="n">
        <x:f>IF(E403="","",MAX(E403,F403)/MIN(E403,F403))</x:f>
        <x:v>1.2607643894198715</x:v>
      </x:c>
      <x:c r="H403" s="92" t="n">
        <x:f>IF(A403&lt;'拟合与方案'!$C$15,"",SQRT('拟合与方案'!$F$15^2+('拟合与方案'!$G$15*(A403-'拟合与方案'!$H$15))^2))</x:f>
        <x:v>5834.445877702718</x:v>
      </x:c>
      <x:c r="I403" s="92" t="n">
        <x:f>C403</x:f>
        <x:v>3730.4256793240493</x:v>
      </x:c>
      <x:c r="J403" s="92" t="n">
        <x:f>IF(H403="","",MAX(H403,I403)/MIN(H403,I403))</x:f>
        <x:v>1.5640161148472245</x:v>
      </x:c>
    </x:row>
    <x:row r="404" ht="15" hidden="0" customHeight="1">
      <x:c r="A404" s="92" t="n">
        <x:v>321</x:v>
      </x:c>
      <x:c r="B404" s="92" t="n">
        <x:f>SQRT('拟合与方案'!$B$7^2+('拟合与方案'!$C$7*(A404-'拟合与方案'!$D$7))^2)</x:f>
        <x:v>3512.2552483413715</x:v>
      </x:c>
      <x:c r="C404" s="92" t="n">
        <x:f>SQRT('拟合与方案'!$B$8^2+('拟合与方案'!$C$8*(A404-'拟合与方案'!$D$8))^2)</x:f>
        <x:v>3751.90724755929</x:v>
      </x:c>
      <x:c r="D404" s="92" t="n">
        <x:f>MAX(B404,C404)/MIN(B404,C404)</x:f>
        <x:v>1.068233081673404</x:v>
      </x:c>
      <x:c r="E404" s="92" t="n">
        <x:f>IF(A404&lt;'拟合与方案'!$C$13,"",SQRT('拟合与方案'!$F$13^2+('拟合与方案'!$G$13*(A404-'拟合与方案'!$H$13))^2))</x:f>
        <x:v>4730.280177398087</x:v>
      </x:c>
      <x:c r="F404" s="92" t="n">
        <x:f>C404</x:f>
        <x:v>3751.90724755929</x:v>
      </x:c>
      <x:c r="G404" s="92" t="n">
        <x:f>IF(E404="","",MAX(E404,F404)/MIN(E404,F404))</x:f>
        <x:v>1.2607668221210035</x:v>
      </x:c>
      <x:c r="H404" s="92" t="n">
        <x:f>IF(A404&lt;'拟合与方案'!$C$15,"",SQRT('拟合与方案'!$F$15^2+('拟合与方案'!$G$15*(A404-'拟合与方案'!$H$15))^2))</x:f>
        <x:v>5868.469433128641</x:v>
      </x:c>
      <x:c r="I404" s="92" t="n">
        <x:f>C404</x:f>
        <x:v>3751.90724755929</x:v>
      </x:c>
      <x:c r="J404" s="92" t="n">
        <x:f>IF(H404="","",MAX(H404,I404)/MIN(H404,I404))</x:f>
        <x:v>1.5641296668371074</x:v>
      </x:c>
    </x:row>
    <x:row r="405" ht="15" hidden="0" customHeight="1">
      <x:c r="A405" s="92" t="n">
        <x:v>321.5</x:v>
      </x:c>
      <x:c r="B405" s="92" t="n">
        <x:f>SQRT('拟合与方案'!$B$7^2+('拟合与方案'!$C$7*(A405-'拟合与方案'!$D$7))^2)</x:f>
        <x:v>3531.349533688601</x:v>
      </x:c>
      <x:c r="C405" s="92" t="n">
        <x:f>SQRT('拟合与方案'!$B$8^2+('拟合与方案'!$C$8*(A405-'拟合与方案'!$D$8))^2)</x:f>
        <x:v>3773.391178074452</x:v>
      </x:c>
      <x:c r="D405" s="92" t="n">
        <x:f>MAX(B405,C405)/MIN(B405,C405)</x:f>
        <x:v>1.068540834623366</x:v>
      </x:c>
      <x:c r="E405" s="92" t="n">
        <x:f>IF(A405&lt;'拟合与方案'!$C$13,"",SQRT('拟合与方案'!$F$13^2+('拟合与方案'!$G$13*(A405-'拟合与方案'!$H$13))^2))</x:f>
        <x:v>4757.375424008332</x:v>
      </x:c>
      <x:c r="F405" s="92" t="n">
        <x:f>C405</x:f>
        <x:v>3773.391178074452</x:v>
      </x:c>
      <x:c r="G405" s="92" t="n">
        <x:f>IF(E405="","",MAX(E405,F405)/MIN(E405,F405))</x:f>
        <x:v>1.2607692124928334</x:v>
      </x:c>
      <x:c r="H405" s="92" t="n">
        <x:f>IF(A405&lt;'拟合与方案'!$C$15,"",SQRT('拟合与方案'!$F$15^2+('拟合与方案'!$G$15*(A405-'拟合与方案'!$H$15))^2))</x:f>
        <x:v>5902.49451938591</x:v>
      </x:c>
      <x:c r="I405" s="92" t="n">
        <x:f>C405</x:f>
        <x:v>3773.391178074452</x:v>
      </x:c>
      <x:c r="J405" s="92" t="n">
        <x:f>IF(H405="","",MAX(H405,I405)/MIN(H405,I405))</x:f>
        <x:v>1.5642413523630307</x:v>
      </x:c>
    </x:row>
    <x:row r="406" ht="15" hidden="0" customHeight="1">
      <x:c r="A406" s="92" t="n">
        <x:v>322</x:v>
      </x:c>
      <x:c r="B406" s="92" t="n">
        <x:f>SQRT('拟合与方案'!$B$7^2+('拟合与方案'!$C$7*(A406-'拟合与方案'!$D$7))^2)</x:f>
        <x:v>3550.450844543036</x:v>
      </x:c>
      <x:c r="C406" s="92" t="n">
        <x:f>SQRT('拟合与方案'!$B$8^2+('拟合与方案'!$C$8*(A406-'拟合与方案'!$D$8))^2)</x:f>
        <x:v>3794.8774307488247</x:v>
      </x:c>
      <x:c r="D406" s="92" t="n">
        <x:f>MAX(B406,C406)/MIN(B406,C406)</x:f>
        <x:v>1.068843816435726</x:v>
      </x:c>
      <x:c r="E406" s="92" t="n">
        <x:f>IF(A406&lt;'拟合与方案'!$C$13,"",SQRT('拟合与方案'!$F$13^2+('拟合与方案'!$G$13*(A406-'拟合与方案'!$H$13))^2))</x:f>
        <x:v>4784.473544038281</x:v>
      </x:c>
      <x:c r="F406" s="92" t="n">
        <x:f>C406</x:f>
        <x:v>3794.8774307488247</x:v>
      </x:c>
      <x:c r="G406" s="92" t="n">
        <x:f>IF(E406="","",MAX(E406,F406)/MIN(E406,F406))</x:f>
        <x:v>1.2607715614926156</x:v>
      </x:c>
      <x:c r="H406" s="92" t="n">
        <x:f>IF(A406&lt;'拟合与方案'!$C$15,"",SQRT('拟合与方案'!$F$15^2+('拟合与方案'!$G$15*(A406-'拟合与方案'!$H$15))^2))</x:f>
        <x:v>5936.52111015271</x:v>
      </x:c>
      <x:c r="I406" s="92" t="n">
        <x:f>C406</x:f>
        <x:v>3794.8774307488247</x:v>
      </x:c>
      <x:c r="J406" s="92" t="n">
        <x:f>IF(H406="","",MAX(H406,I406)/MIN(H406,I406))</x:f>
        <x:v>1.564351212518947</x:v>
      </x:c>
    </x:row>
    <x:row r="407" ht="15" hidden="0" customHeight="1">
      <x:c r="A407" s="92" t="n">
        <x:v>322.5</x:v>
      </x:c>
      <x:c r="B407" s="92" t="n">
        <x:f>SQRT('拟合与方案'!$B$7^2+('拟合与方案'!$C$7*(A407-'拟合与方案'!$D$7))^2)</x:f>
        <x:v>3569.5590681206677</x:v>
      </x:c>
      <x:c r="C407" s="92" t="n">
        <x:f>SQRT('拟合与方案'!$B$8^2+('拟合与方案'!$C$8*(A407-'拟合与方案'!$D$8))^2)</x:f>
        <x:v>3816.365966360936</x:v>
      </x:c>
      <x:c r="D407" s="92" t="n">
        <x:f>MAX(B407,C407)/MIN(B407,C407)</x:f>
        <x:v>1.0691421247079151</x:v>
      </x:c>
      <x:c r="E407" s="92" t="n">
        <x:f>IF(A407&lt;'拟合与方案'!$C$13,"",SQRT('拟合与方案'!$F$13^2+('拟合与方案'!$G$13*(A407-'拟合与方案'!$H$13))^2))</x:f>
        <x:v>4811.574488939832</x:v>
      </x:c>
      <x:c r="F407" s="92" t="n">
        <x:f>C407</x:f>
        <x:v>3816.365966360936</x:v>
      </x:c>
      <x:c r="G407" s="92" t="n">
        <x:f>IF(E407="","",MAX(E407,F407)/MIN(E407,F407))</x:f>
        <x:v>1.2607738700510078</x:v>
      </x:c>
      <x:c r="H407" s="92" t="n">
        <x:f>IF(A407&lt;'拟合与方案'!$C$15,"",SQRT('拟合与方案'!$F$15^2+('拟合与方案'!$G$15*(A407-'拟合与方案'!$H$15))^2))</x:f>
        <x:v>5970.549179706117</x:v>
      </x:c>
      <x:c r="I407" s="92" t="n">
        <x:f>C407</x:f>
        <x:v>3816.365966360936</x:v>
      </x:c>
      <x:c r="J407" s="92" t="n">
        <x:f>IF(H407="","",MAX(H407,I407)/MIN(H407,I407))</x:f>
        <x:v>1.56445928727304</x:v>
      </x:c>
    </x:row>
    <x:row r="408" ht="15" hidden="0" customHeight="1">
      <x:c r="A408" s="92" t="n">
        <x:v>323</x:v>
      </x:c>
      <x:c r="B408" s="92" t="n">
        <x:f>SQRT('拟合与方案'!$B$7^2+('拟合与方案'!$C$7*(A408-'拟合与方案'!$D$7))^2)</x:f>
        <x:v>3588.6740939992164</x:v>
      </x:c>
      <x:c r="C408" s="92" t="n">
        <x:f>SQRT('拟合与方案'!$B$8^2+('拟合与方案'!$C$8*(A408-'拟合与方案'!$D$8))^2)</x:f>
        <x:v>3837.856746563609</x:v>
      </x:c>
      <x:c r="D408" s="92" t="n">
        <x:f>MAX(B408,C408)/MIN(B408,C408)</x:f>
        <x:v>1.069435854590714</x:v>
      </x:c>
      <x:c r="E408" s="92" t="n">
        <x:f>IF(A408&lt;'拟合与方案'!$C$13,"",SQRT('拟合与方案'!$F$13^2+('拟合与方案'!$G$13*(A408-'拟合与方案'!$H$13))^2))</x:f>
        <x:v>4838.67821124753</x:v>
      </x:c>
      <x:c r="F408" s="92" t="n">
        <x:f>C408</x:f>
        <x:v>3837.856746563609</x:v>
      </x:c>
      <x:c r="G408" s="92" t="n">
        <x:f>IF(E408="","",MAX(E408,F408)/MIN(E408,F408))</x:f>
        <x:v>1.2607761390729475</x:v>
      </x:c>
      <x:c r="H408" s="92" t="n">
        <x:f>IF(A408&lt;'拟合与方案'!$C$15,"",SQRT('拟合与方案'!$F$15^2+('拟合与方案'!$G$15*(A408-'拟合与方案'!$H$15))^2))</x:f>
        <x:v>6004.578702905188</x:v>
      </x:c>
      <x:c r="I408" s="92" t="n">
        <x:f>C408</x:f>
        <x:v>3837.856746563609</x:v>
      </x:c>
      <x:c r="J408" s="92" t="n">
        <x:f>IF(H408="","",MAX(H408,I408)/MIN(H408,I408))</x:f>
        <x:v>1.5645656155044472</x:v>
      </x:c>
    </x:row>
    <x:row r="409" ht="15" hidden="0" customHeight="1">
      <x:c r="A409" s="92" t="n">
        <x:v>323.5</x:v>
      </x:c>
      <x:c r="B409" s="92" t="n">
        <x:f>SQRT('拟合与方案'!$B$7^2+('拟合与方案'!$C$7*(A409-'拟合与方案'!$D$7))^2)</x:f>
        <x:v>3607.7958140576884</x:v>
      </x:c>
      <x:c r="C409" s="92" t="n">
        <x:f>SQRT('拟合与方案'!$B$8^2+('拟合与方案'!$C$8*(A409-'拟合与方案'!$D$8))^2)</x:f>
        <x:v>3859.349733859852</x:v>
      </x:c>
      <x:c r="D409" s="92" t="n">
        <x:f>MAX(B409,C409)/MIN(B409,C409)</x:f>
        <x:v>1.0697250988600824</x:v>
      </x:c>
      <x:c r="E409" s="92" t="n">
        <x:f>IF(A409&lt;'拟合与方案'!$C$13,"",SQRT('拟合与方案'!$F$13^2+('拟合与方案'!$G$13*(A409-'拟合与方案'!$H$13))^2))</x:f>
        <x:v>4865.784664548688</x:v>
      </x:c>
      <x:c r="F409" s="92" t="n">
        <x:f>C409</x:f>
        <x:v>3859.349733859852</x:v>
      </x:c>
      <x:c r="G409" s="92" t="n">
        <x:f>IF(E409="","",MAX(E409,F409)/MIN(E409,F409))</x:f>
        <x:v>1.2607783694384882</x:v>
      </x:c>
      <x:c r="H409" s="92" t="n">
        <x:f>IF(A409&lt;'拟合与方案'!$C$15,"",SQRT('拟合与方案'!$F$15^2+('拟合与方案'!$G$15*(A409-'拟合与方案'!$H$15))^2))</x:f>
        <x:v>6038.6096551746305</x:v>
      </x:c>
      <x:c r="I409" s="92" t="n">
        <x:f>C409</x:f>
        <x:v>3859.349733859852</x:v>
      </x:c>
      <x:c r="J409" s="92" t="n">
        <x:f>IF(H409="","",MAX(H409,I409)/MIN(H409,I409))</x:f>
        <x:v>1.5646702350385941</x:v>
      </x:c>
    </x:row>
    <x:row r="410" ht="15" hidden="0" customHeight="1">
      <x:c r="A410" s="92" t="n">
        <x:v>324</x:v>
      </x:c>
      <x:c r="B410" s="92" t="n">
        <x:f>SQRT('拟合与方案'!$B$7^2+('拟合与方案'!$C$7*(A410-'拟合与方案'!$D$7))^2)</x:f>
        <x:v>3626.924122417745</x:v>
      </x:c>
      <x:c r="C410" s="92" t="n">
        <x:f>SQRT('拟合与方案'!$B$8^2+('拟合与方案'!$C$8*(A410-'拟合与方案'!$D$8))^2)</x:f>
        <x:v>3880.844891579532</x:v>
      </x:c>
      <x:c r="D410" s="92" t="n">
        <x:f>MAX(B410,C410)/MIN(B410,C410)</x:f>
        <x:v>1.0700099479865934</x:v>
      </x:c>
      <x:c r="E410" s="92" t="n">
        <x:f>IF(A410&lt;'拟合与方案'!$C$13,"",SQRT('拟合与方案'!$F$13^2+('拟合与方案'!$G$13*(A410-'拟合与方案'!$H$13))^2))</x:f>
        <x:v>4892.8938034544935</x:v>
      </x:c>
      <x:c r="F410" s="92" t="n">
        <x:f>C410</x:f>
        <x:v>3880.844891579532</x:v>
      </x:c>
      <x:c r="G410" s="92" t="n">
        <x:f>IF(E410="","",MAX(E410,F410)/MIN(E410,F410))</x:f>
        <x:v>1.2607805620036132</x:v>
      </x:c>
      <x:c r="H410" s="92" t="n">
        <x:f>IF(A410&lt;'拟合与方案'!$C$15,"",SQRT('拟合与方案'!$F$15^2+('拟合与方案'!$G$15*(A410-'拟合与方案'!$H$15))^2))</x:f>
        <x:v>6072.642012489008</x:v>
      </x:c>
      <x:c r="I410" s="92" t="n">
        <x:f>C410</x:f>
        <x:v>3880.844891579532</x:v>
      </x:c>
      <x:c r="J410" s="92" t="n">
        <x:f>IF(H410="","",MAX(H410,I410)/MIN(H410,I410))</x:f>
        <x:v>1.564773182681207</x:v>
      </x:c>
    </x:row>
    <x:row r="411" ht="15" hidden="0" customHeight="1">
      <x:c r="A411" s="92" t="n">
        <x:v>324.5</x:v>
      </x:c>
      <x:c r="B411" s="92" t="n">
        <x:f>SQRT('拟合与方案'!$B$7^2+('拟合与方案'!$C$7*(A411-'拟合与方案'!$D$7))^2)</x:f>
        <x:v>3646.058915386826</x:v>
      </x:c>
      <x:c r="C411" s="92" t="n">
        <x:f>SQRT('拟合与方案'!$B$8^2+('拟合与方案'!$C$8*(A411-'拟合与方案'!$D$8))^2)</x:f>
        <x:v>3902.3421838568083</x:v>
      </x:c>
      <x:c r="D411" s="92" t="n">
        <x:f>MAX(B411,C411)/MIN(B411,C411)</x:f>
        <x:v>1.0702904902025678</x:v>
      </x:c>
      <x:c r="E411" s="92" t="n">
        <x:f>IF(A411&lt;'拟合与方案'!$C$13,"",SQRT('拟合与方案'!$F$13^2+('拟合与方案'!$G$13*(A411-'拟合与方案'!$H$13))^2))</x:f>
        <x:v>4920.005583572054</x:v>
      </x:c>
      <x:c r="F411" s="92" t="n">
        <x:f>C411</x:f>
        <x:v>3902.3421838568083</x:v>
      </x:c>
      <x:c r="G411" s="92" t="n">
        <x:f>IF(E411="","",MAX(E411,F411)/MIN(E411,F411))</x:f>
        <x:v>1.2607827176010118</x:v>
      </x:c>
      <x:c r="H411" s="92" t="n">
        <x:f>IF(A411&lt;'拟合与方案'!$C$15,"",SQRT('拟合与方案'!$F$15^2+('拟合与方案'!$G$15*(A411-'拟合与方案'!$H$15))^2))</x:f>
        <x:v>6106.675751357475</x:v>
      </x:c>
      <x:c r="I411" s="92" t="n">
        <x:f>C411</x:f>
        <x:v>3902.3421838568083</x:v>
      </x:c>
      <x:c r="J411" s="92" t="n">
        <x:f>IF(H411="","",MAX(H411,I411)/MIN(H411,I411))</x:f>
        <x:v>1.5648744942510535</x:v>
      </x:c>
    </x:row>
    <x:row r="412" ht="15" hidden="0" customHeight="1">
      <x:c r="A412" s="92" t="n">
        <x:v>325</x:v>
      </x:c>
      <x:c r="B412" s="92" t="n">
        <x:f>SQRT('拟合与方案'!$B$7^2+('拟合与方案'!$C$7*(A412-'拟合与方案'!$D$7))^2)</x:f>
        <x:v>3665.2000914029586</x:v>
      </x:c>
      <x:c r="C412" s="92" t="n">
        <x:f>SQRT('拟合与方案'!$B$8^2+('拟合与方案'!$C$8*(A412-'拟合与方案'!$D$8))^2)</x:f>
        <x:v>3923.8415756083004</x:v>
      </x:c>
      <x:c r="D412" s="92" t="n">
        <x:f>MAX(B412,C412)/MIN(B412,C412)</x:f>
        <x:v>1.0705668115669886</x:v>
      </x:c>
      <x:c r="E412" s="92" t="n">
        <x:f>IF(A412&lt;'拟合与方案'!$C$13,"",SQRT('拟合与方案'!$F$13^2+('拟合与方案'!$G$13*(A412-'拟合与方案'!$H$13))^2))</x:f>
        <x:v>4947.119961477344</x:v>
      </x:c>
      <x:c r="F412" s="92" t="n">
        <x:f>C412</x:f>
        <x:v>3923.8415756083004</x:v>
      </x:c>
      <x:c r="G412" s="92" t="n">
        <x:f>IF(E412="","",MAX(E412,F412)/MIN(E412,F412))</x:f>
        <x:v>1.2607848370408299</x:v>
      </x:c>
      <x:c r="H412" s="92" t="n">
        <x:f>IF(A412&lt;'拟合与方案'!$C$15,"",SQRT('拟合与方案'!$F$15^2+('拟合与方案'!$G$15*(A412-'拟合与方案'!$H$15))^2))</x:f>
        <x:v>6140.710848809018</x:v>
      </x:c>
      <x:c r="I412" s="92" t="n">
        <x:f>C412</x:f>
        <x:v>3923.8415756083004</x:v>
      </x:c>
      <x:c r="J412" s="92" t="n">
        <x:f>IF(H412="","",MAX(H412,I412)/MIN(H412,I412))</x:f>
        <x:v>1.5649742046114703</x:v>
      </x:c>
    </x:row>
    <x:row r="413" ht="15" hidden="0" customHeight="1">
      <x:c r="A413" s="92" t="n">
        <x:v>325.5</x:v>
      </x:c>
      <x:c r="B413" s="92" t="n">
        <x:f>SQRT('拟合与方案'!$B$7^2+('拟合与方案'!$C$7*(A413-'拟合与方案'!$D$7))^2)</x:f>
        <x:v>3684.3475509812083</x:v>
      </x:c>
      <x:c r="C413" s="92" t="n">
        <x:f>SQRT('拟合与方案'!$B$8^2+('拟合与方案'!$C$8*(A413-'拟合与方案'!$D$8))^2)</x:f>
        <x:v>3945.3430325119602</x:v>
      </x:c>
      <x:c r="D413" s="92" t="n">
        <x:f>MAX(B413,C413)/MIN(B413,C413)</x:f>
        <x:v>1.0708389960282776</x:v>
      </x:c>
      <x:c r="E413" s="92" t="n">
        <x:f>IF(A413&lt;'拟合与方案'!$C$13,"",SQRT('拟合与方案'!$F$13^2+('拟合与方案'!$G$13*(A413-'拟合与方案'!$H$13))^2))</x:f>
        <x:v>4974.236894689034</x:v>
      </x:c>
      <x:c r="F413" s="92" t="n">
        <x:f>C413</x:f>
        <x:v>3945.3430325119602</x:v>
      </x:c>
      <x:c r="G413" s="92" t="n">
        <x:f>IF(E413="","",MAX(E413,F413)/MIN(E413,F413))</x:f>
        <x:v>1.2607869211113911</x:v>
      </x:c>
      <x:c r="H413" s="92" t="n">
        <x:f>IF(A413&lt;'拟合与方案'!$C$15,"",SQRT('拟合与方案'!$F$15^2+('拟合与方案'!$G$15*(A413-'拟合与方案'!$H$15))^2))</x:f>
        <x:v>6174.747282378178</x:v>
      </x:c>
      <x:c r="I413" s="92" t="n">
        <x:f>C413</x:f>
        <x:v>3945.3430325119602</x:v>
      </x:c>
      <x:c r="J413" s="92" t="n">
        <x:f>IF(H413="","",MAX(H413,I413)/MIN(H413,I413))</x:f>
        <x:v>1.5650723477007216</x:v>
      </x:c>
    </x:row>
    <x:row r="414" ht="15" hidden="0" customHeight="1">
      <x:c r="A414" s="92" t="n">
        <x:v>326</x:v>
      </x:c>
      <x:c r="B414" s="92" t="n">
        <x:f>SQRT('拟合与方案'!$B$7^2+('拟合与方案'!$C$7*(A414-'拟合与方案'!$D$7))^2)</x:f>
        <x:v>3703.5011966617035</x:v>
      </x:c>
      <x:c r="C414" s="92" t="n">
        <x:f>SQRT('拟合与方案'!$B$8^2+('拟合与方案'!$C$8*(A414-'拟合与方案'!$D$8))^2)</x:f>
        <x:v>3966.846520986619</x:v>
      </x:c>
      <x:c r="D414" s="92" t="n">
        <x:f>MAX(B414,C414)/MIN(B414,C414)</x:f>
        <x:v>1.071107125485012</x:v>
      </x:c>
      <x:c r="E414" s="92" t="n">
        <x:f>IF(A414&lt;'拟合与方案'!$C$13,"",SQRT('拟合与方案'!$F$13^2+('拟合与方案'!$G$13*(A414-'拟合与方案'!$H$13))^2))</x:f>
        <x:v>5001.356341643157</x:v>
      </x:c>
      <x:c r="F414" s="92" t="n">
        <x:f>C414</x:f>
        <x:v>3966.846520986619</x:v>
      </x:c>
      <x:c r="G414" s="92" t="n">
        <x:f>IF(E414="","",MAX(E414,F414)/MIN(E414,F414))</x:f>
        <x:v>1.260788970579895</x:v>
      </x:c>
      <x:c r="H414" s="92" t="n">
        <x:f>IF(A414&lt;'拟合与方案'!$C$15,"",SQRT('拟合与方案'!$F$15^2+('拟合与方案'!$G$15*(A414-'拟合与方案'!$H$15))^2))</x:f>
        <x:v>6208.785030091248</x:v>
      </x:c>
      <x:c r="I414" s="92" t="n">
        <x:f>C414</x:f>
        <x:v>3966.846520986619</x:v>
      </x:c>
      <x:c r="J414" s="92" t="n">
        <x:f>IF(H414="","",MAX(H414,I414)/MIN(H414,I414))</x:f>
        <x:v>1.5651689565612492</x:v>
      </x:c>
    </x:row>
    <x:row r="415" ht="15" hidden="0" customHeight="1">
      <x:c r="A415" s="92" t="n">
        <x:v>326.5</x:v>
      </x:c>
      <x:c r="B415" s="92" t="n">
        <x:f>SQRT('拟合与方案'!$B$7^2+('拟合与方案'!$C$7*(A415-'拟合与方案'!$D$7))^2)</x:f>
        <x:v>3722.66093295919</x:v>
      </x:c>
      <x:c r="C415" s="92" t="n">
        <x:f>SQRT('拟合与方案'!$B$8^2+('拟合与方案'!$C$8*(A415-'拟合与方案'!$D$8))^2)</x:f>
        <x:v>3988.3520081721913</x:v>
      </x:c>
      <x:c r="D415" s="92" t="n">
        <x:f>MAX(B415,C415)/MIN(B415,C415)</x:f>
        <x:v>1.0713712798446566</x:v>
      </x:c>
      <x:c r="E415" s="92" t="n">
        <x:f>IF(A415&lt;'拟合与方案'!$C$13,"",SQRT('拟合与方案'!$F$13^2+('拟合与方案'!$G$13*(A415-'拟合与方案'!$H$13))^2))</x:f>
        <x:v>5028.478261668578</x:v>
      </x:c>
      <x:c r="F415" s="92" t="n">
        <x:f>C415</x:f>
        <x:v>3988.3520081721913</x:v>
      </x:c>
      <x:c r="G415" s="92" t="n">
        <x:f>IF(E415="","",MAX(E415,F415)/MIN(E415,F415))</x:f>
        <x:v>1.2607909861930824</x:v>
      </x:c>
      <x:c r="H415" s="92" t="n">
        <x:f>IF(A415&lt;'拟合与方案'!$C$15,"",SQRT('拟合与方案'!$F$15^2+('拟合与方案'!$G$15*(A415-'拟合与方案'!$H$15))^2))</x:f>
        <x:v>6242.824070452908</x:v>
      </x:c>
      <x:c r="I415" s="92" t="n">
        <x:f>C415</x:f>
        <x:v>3988.3520081721913</x:v>
      </x:c>
      <x:c r="J415" s="92" t="n">
        <x:f>IF(H415="","",MAX(H415,I415)/MIN(H415,I415))</x:f>
        <x:v>1.5652640633678447</x:v>
      </x:c>
    </x:row>
    <x:row r="416" ht="15" hidden="0" customHeight="1">
      <x:c r="A416" s="92" t="n">
        <x:v>327</x:v>
      </x:c>
      <x:c r="B416" s="92" t="n">
        <x:f>SQRT('拟合与方案'!$B$7^2+('拟合与方案'!$C$7*(A416-'拟合与方案'!$D$7))^2)</x:f>
        <x:v>3741.8266663140585</x:v>
      </x:c>
      <x:c r="C416" s="92" t="n">
        <x:f>SQRT('拟合与方案'!$B$8^2+('拟合与方案'!$C$8*(A416-'拟合与方案'!$D$8))^2)</x:f>
        <x:v>4009.859461910504</x:v>
      </x:c>
      <x:c r="D416" s="92" t="n">
        <x:f>MAX(B416,C416)/MIN(B416,C416)</x:f>
        <x:v>1.0716315370803842</x:v>
      </x:c>
      <x:c r="E416" s="92" t="n">
        <x:f>IF(A416&lt;'拟合与方案'!$C$13,"",SQRT('拟合与方案'!$F$13^2+('拟合与方案'!$G$13*(A416-'拟合与方案'!$H$13))^2))</x:f>
        <x:v>5055.602614963251</x:v>
      </x:c>
      <x:c r="F416" s="92" t="n">
        <x:f>C416</x:f>
        <x:v>4009.859461910504</x:v>
      </x:c>
      <x:c r="G416" s="92" t="n">
        <x:f>IF(E416="","",MAX(E416,F416)/MIN(E416,F416))</x:f>
        <x:v>1.260792968677885</x:v>
      </x:c>
      <x:c r="H416" s="92" t="n">
        <x:f>IF(A416&lt;'拟合与方案'!$C$15,"",SQRT('拟合与方案'!$F$15^2+('拟合与方案'!$G$15*(A416-'拟合与方案'!$H$15))^2))</x:f>
        <x:v>6276.864382433303</x:v>
      </x:c>
      <x:c r="I416" s="92" t="n">
        <x:f>C416</x:f>
        <x:v>4009.859461910504</x:v>
      </x:c>
      <x:c r="J416" s="92" t="n">
        <x:f>IF(H416="","",MAX(H416,I416)/MIN(H416,I416))</x:f>
        <x:v>1.5653576994548037</x:v>
      </x:c>
    </x:row>
    <x:row r="417" ht="15" hidden="0" customHeight="1">
      <x:c r="A417" s="92" t="n">
        <x:v>327.5</x:v>
      </x:c>
      <x:c r="B417" s="92" t="n">
        <x:f>SQRT('拟合与方案'!$B$7^2+('拟合与方案'!$C$7*(A417-'拟合与方案'!$D$7))^2)</x:f>
        <x:v>3760.998305044798</x:v>
      </x:c>
      <x:c r="C417" s="92" t="n">
        <x:f>SQRT('拟合与方案'!$B$8^2+('拟合与方案'!$C$8*(A417-'拟合与方案'!$D$8))^2)</x:f>
        <x:v>4031.3688507267316</x:v>
      </x:c>
      <x:c r="D417" s="92" t="n">
        <x:f>MAX(B417,C417)/MIN(B417,C417)</x:f>
        <x:v>1.0718879732860482</x:v>
      </x:c>
      <x:c r="E417" s="92" t="n">
        <x:f>IF(A417&lt;'拟合与方案'!$C$13,"",SQRT('拟合与方案'!$F$13^2+('拟合与方案'!$G$13*(A417-'拟合与方案'!$H$13))^2))</x:f>
        <x:v>5082.7293625712255</x:v>
      </x:c>
      <x:c r="F417" s="92" t="n">
        <x:f>C417</x:f>
        <x:v>4031.3688507267316</x:v>
      </x:c>
      <x:c r="G417" s="92" t="n">
        <x:f>IF(E417="","",MAX(E417,F417)/MIN(E417,F417))</x:f>
        <x:v>1.2607949187420462</x:v>
      </x:c>
      <x:c r="H417" s="92" t="n">
        <x:f>IF(A417&lt;'拟合与方案'!$C$15,"",SQRT('拟合与方案'!$F$15^2+('拟合与方案'!$G$15*(A417-'拟合与方案'!$H$15))^2))</x:f>
        <x:v>6310.90594545553</x:v>
      </x:c>
      <x:c r="I417" s="92" t="n">
        <x:f>C417</x:f>
        <x:v>4031.3688507267316</x:v>
      </x:c>
      <x:c r="J417" s="92" t="n">
        <x:f>IF(H417="","",MAX(H417,I417)/MIN(H417,I417))</x:f>
        <x:v>1.5654498953420917</x:v>
      </x:c>
    </x:row>
    <x:row r="418" ht="15" hidden="0" customHeight="1">
      <x:c r="A418" s="92" t="n">
        <x:v>328</x:v>
      </x:c>
      <x:c r="B418" s="92" t="n">
        <x:f>SQRT('拟合与方案'!$B$7^2+('拟合与方案'!$C$7*(A418-'拟合与方案'!$D$7))^2)</x:f>
        <x:v>3780.175759301832</x:v>
      </x:c>
      <x:c r="C418" s="92" t="n">
        <x:f>SQRT('拟合与方案'!$B$8^2+('拟合与方案'!$C$8*(A418-'拟合与方案'!$D$8))^2)</x:f>
        <x:v>4052.88014381142</x:v>
      </x:c>
      <x:c r="D418" s="92" t="n">
        <x:f>MAX(B418,C418)/MIN(B418,C418)</x:f>
        <x:v>1.0721406627293844</x:v>
      </x:c>
      <x:c r="E418" s="92" t="n">
        <x:f>IF(A418&lt;'拟合与方案'!$C$13,"",SQRT('拟合与方案'!$F$13^2+('拟合与方案'!$G$13*(A418-'拟合与方案'!$H$13))^2))</x:f>
        <x:v>5109.858466360368</x:v>
      </x:c>
      <x:c r="F418" s="92" t="n">
        <x:f>C418</x:f>
        <x:v>4052.88014381142</x:v>
      </x:c>
      <x:c r="G418" s="92" t="n">
        <x:f>IF(E418="","",MAX(E418,F418)/MIN(E418,F418))</x:f>
        <x:v>1.2607968370747182</x:v>
      </x:c>
      <x:c r="H418" s="92" t="n">
        <x:f>IF(A418&lt;'拟合与方案'!$C$15,"",SQRT('拟合与方案'!$F$15^2+('拟合与方案'!$G$15*(A418-'拟合与方案'!$H$15))^2))</x:f>
        <x:v>6344.948739383531</x:v>
      </x:c>
      <x:c r="I418" s="92" t="n">
        <x:f>C418</x:f>
        <x:v>4052.88014381142</x:v>
      </x:c>
      <x:c r="J418" s="92" t="n">
        <x:f>IF(H418="","",MAX(H418,I418)/MIN(H418,I418))</x:f>
        <x:v>1.5655406807605707</x:v>
      </x:c>
    </x:row>
    <x:row r="419" ht="15" hidden="0" customHeight="1">
      <x:c r="A419" s="92" t="n">
        <x:v>328.5</x:v>
      </x:c>
      <x:c r="B419" s="92" t="n">
        <x:f>SQRT('拟合与方案'!$B$7^2+('拟合与方案'!$C$7*(A419-'拟合与方案'!$D$7))^2)</x:f>
        <x:v>3799.358941022682</x:v>
      </x:c>
      <x:c r="C419" s="92" t="n">
        <x:f>SQRT('拟合与方案'!$B$8^2+('拟合与方案'!$C$8*(A419-'拟合与方案'!$D$8))^2)</x:f>
        <x:v>4074.393311003065</x:v>
      </x:c>
      <x:c r="D419" s="92" t="n">
        <x:f>MAX(B419,C419)/MIN(B419,C419)</x:f>
        <x:v>1.0723896779034916</x:v>
      </x:c>
      <x:c r="E419" s="92" t="n">
        <x:f>IF(A419&lt;'拟合与方案'!$C$13,"",SQRT('拟合与方案'!$F$13^2+('拟合与方案'!$G$13*(A419-'拟合与方案'!$H$13))^2))</x:f>
        <x:v>5136.989889000792</x:v>
      </x:c>
      <x:c r="F419" s="92" t="n">
        <x:f>C419</x:f>
        <x:v>4074.393311003065</x:v>
      </x:c>
      <x:c r="G419" s="92" t="n">
        <x:f>IF(E419="","",MAX(E419,F419)/MIN(E419,F419))</x:f>
        <x:v>1.2607987243470438</x:v>
      </x:c>
      <x:c r="H419" s="92" t="n">
        <x:f>IF(A419&lt;'拟合与方案'!$C$15,"",SQRT('拟合与方案'!$F$15^2+('拟合与方案'!$G$15*(A419-'拟合与方案'!$H$15))^2))</x:f>
        <x:v>6378.992744510368</x:v>
      </x:c>
      <x:c r="I419" s="92" t="n">
        <x:f>C419</x:f>
        <x:v>4074.393311003065</x:v>
      </x:c>
      <x:c r="J419" s="92" t="n">
        <x:f>IF(H419="","",MAX(H419,I419)/MIN(H419,I419))</x:f>
        <x:v>1.5656300846763218</x:v>
      </x:c>
    </x:row>
    <x:row r="420" ht="15" hidden="0" customHeight="1">
      <x:c r="A420" s="92" t="n">
        <x:v>329</x:v>
      </x:c>
      <x:c r="B420" s="92" t="n">
        <x:f>SQRT('拟合与方案'!$B$7^2+('拟合与方案'!$C$7*(A420-'拟合与方案'!$D$7))^2)</x:f>
        <x:v>3818.5477638884227</x:v>
      </x:c>
      <x:c r="C420" s="92" t="n">
        <x:f>SQRT('拟合与方案'!$B$8^2+('拟合与方案'!$C$8*(A420-'拟合与方案'!$D$8))^2)</x:f>
        <x:v>4095.908322771238</x:v>
      </x:c>
      <x:c r="D420" s="92" t="n">
        <x:f>MAX(B420,C420)/MIN(B420,C420)</x:f>
        <x:v>1.0726350895766665</x:v>
      </x:c>
      <x:c r="E420" s="92" t="n">
        <x:f>IF(A420&lt;'拟合与方案'!$C$13,"",SQRT('拟合与方案'!$F$13^2+('拟合与方案'!$G$13*(A420-'拟合与方案'!$H$13))^2))</x:f>
        <x:v>5164.123593943953</x:v>
      </x:c>
      <x:c r="F420" s="92" t="n">
        <x:f>C420</x:f>
        <x:v>4095.908322771238</x:v>
      </x:c>
      <x:c r="G420" s="92" t="n">
        <x:f>IF(E420="","",MAX(E420,F420)/MIN(E420,F420))</x:f>
        <x:v>1.2608005812127099</x:v>
      </x:c>
      <x:c r="H420" s="92" t="n">
        <x:f>IF(A420&lt;'拟合与方案'!$C$15,"",SQRT('拟合与方案'!$F$15^2+('拟合与方案'!$G$15*(A420-'拟合与方案'!$H$15))^2))</x:f>
        <x:v>6413.037941546869</x:v>
      </x:c>
      <x:c r="I420" s="92" t="n">
        <x:f>C420</x:f>
        <x:v>4095.908322771238</x:v>
      </x:c>
      <x:c r="J420" s="92" t="n">
        <x:f>IF(H420="","",MAX(H420,I420)/MIN(H420,I420))</x:f>
        <x:v>1.5657181353140959</x:v>
      </x:c>
    </x:row>
    <x:row r="421" ht="15" hidden="0" customHeight="1">
      <x:c r="A421" s="92" t="n">
        <x:v>329.5</x:v>
      </x:c>
      <x:c r="B421" s="92" t="n">
        <x:f>SQRT('拟合与方案'!$B$7^2+('拟合与方案'!$C$7*(A421-'拟合与方案'!$D$7))^2)</x:f>
        <x:v>3837.7421432813894</x:v>
      </x:c>
      <x:c r="C421" s="92" t="n">
        <x:f>SQRT('拟合与方案'!$B$8^2+('拟合与方案'!$C$8*(A421-'拟合与方案'!$D$8))^2)</x:f>
        <x:v>4117.425150200233</x:v>
      </x:c>
      <x:c r="D421" s="92" t="n">
        <x:f>MAX(B421,C421)/MIN(B421,C421)</x:f>
        <x:v>1.0728769668406397</x:v>
      </x:c>
      <x:c r="E421" s="92" t="n">
        <x:f>IF(A421&lt;'拟合与方案'!$C$13,"",SQRT('拟合与方案'!$F$13^2+('拟合与方案'!$G$13*(A421-'拟合与方案'!$H$13))^2))</x:f>
        <x:v>5191.259545402393</x:v>
      </x:c>
      <x:c r="F421" s="92" t="n">
        <x:f>C421</x:f>
        <x:v>4117.425150200233</x:v>
      </x:c>
      <x:c r="G421" s="92" t="n">
        <x:f>IF(E421="","",MAX(E421,F421)/MIN(E421,F421))</x:f>
        <x:v>1.2608024083084886</x:v>
      </x:c>
      <x:c r="H421" s="92" t="n">
        <x:f>IF(A421&lt;'拟合与方案'!$C$15,"",SQRT('拟合与方案'!$F$15^2+('拟合与方案'!$G$15*(A421-'拟合与方案'!$H$15))^2))</x:f>
        <x:v>6447.084311610642</x:v>
      </x:c>
      <x:c r="I421" s="92" t="n">
        <x:f>C421</x:f>
        <x:v>4117.425150200233</x:v>
      </x:c>
      <x:c r="J421" s="92" t="n">
        <x:f>IF(H421="","",MAX(H421,I421)/MIN(H421,I421))</x:f>
        <x:v>1.5658048601799395</x:v>
      </x:c>
    </x:row>
    <x:row r="422" ht="15" hidden="0" customHeight="1">
      <x:c r="A422" s="92" t="n">
        <x:v>330</x:v>
      </x:c>
      <x:c r="B422" s="92" t="n">
        <x:f>SQRT('拟合与方案'!$B$7^2+('拟合与方案'!$C$7*(A422-'拟合与方案'!$D$7))^2)</x:f>
        <x:v>3856.941996244079</x:v>
      </x:c>
      <x:c r="C422" s="92" t="n">
        <x:f>SQRT('拟合与方案'!$B$8^2+('拟合与方案'!$C$8*(A422-'拟合与方案'!$D$8))^2)</x:f>
        <x:v>4138.943764973215</x:v>
      </x:c>
      <x:c r="D422" s="92" t="n">
        <x:f>MAX(B422,C422)/MIN(B422,C422)</x:f>
        <x:v>1.0731153771572794</x:v>
      </x:c>
      <x:c r="E422" s="92" t="n">
        <x:f>IF(A422&lt;'拟合与方案'!$C$13,"",SQRT('拟合与方案'!$F$13^2+('拟合与方案'!$G$13*(A422-'拟合与方案'!$H$13))^2))</x:f>
        <x:v>5218.397708330107</x:v>
      </x:c>
      <x:c r="F422" s="92" t="n">
        <x:f>C422</x:f>
        <x:v>4138.943764973215</x:v>
      </x:c>
      <x:c r="G422" s="92" t="n">
        <x:f>IF(E422="","",MAX(E422,F422)/MIN(E422,F422))</x:f>
        <x:v>1.2608042062547513</x:v>
      </x:c>
      <x:c r="H422" s="92" t="n">
        <x:f>IF(A422&lt;'拟合与方案'!$C$15,"",SQRT('拟合与方案'!$F$15^2+('拟合与方案'!$G$15*(A422-'拟合与方案'!$H$15))^2))</x:f>
        <x:v>6481.1318362154125</x:v>
      </x:c>
      <x:c r="I422" s="92" t="n">
        <x:f>C422</x:f>
        <x:v>4138.943764973215</x:v>
      </x:c>
      <x:c r="J422" s="92" t="n">
        <x:f>IF(H422="","",MAX(H422,I422)/MIN(H422,I422))</x:f>
        <x:v>1.5658902860830133</x:v>
      </x:c>
    </x:row>
    <x:row r="423" ht="15" hidden="0" customHeight="1">
      <x:c r="A423" s="92" t="n">
        <x:v>330.5</x:v>
      </x:c>
      <x:c r="B423" s="92" t="n">
        <x:f>SQRT('拟合与方案'!$B$7^2+('拟合与方案'!$C$7*(A423-'拟合与方案'!$D$7))^2)</x:f>
        <x:v>3876.1472414392315</x:v>
      </x:c>
      <x:c r="C423" s="92" t="n">
        <x:f>SQRT('拟合与方案'!$B$8^2+('拟合与方案'!$C$8*(A423-'拟合与方案'!$D$8))^2)</x:f>
        <x:v>4160.464139356862</x:v>
      </x:c>
      <x:c r="D423" s="92" t="n">
        <x:f>MAX(B423,C423)/MIN(B423,C423)</x:f>
        <x:v>1.07335038640381</x:v>
      </x:c>
      <x:c r="E423" s="92" t="n">
        <x:f>IF(A423&lt;'拟合与方案'!$C$13,"",SQRT('拟合与方案'!$F$13^2+('拟合与方案'!$G$13*(A423-'拟合与方案'!$H$13))^2))</x:f>
        <x:v>5245.538048403517</x:v>
      </x:c>
      <x:c r="F423" s="92" t="n">
        <x:f>C423</x:f>
        <x:v>4160.464139356862</x:v>
      </x:c>
      <x:c r="G423" s="92" t="n">
        <x:f>IF(E423="","",MAX(E423,F423)/MIN(E423,F423))</x:f>
        <x:v>1.260805975655973</x:v>
      </x:c>
      <x:c r="H423" s="92" t="n">
        <x:f>IF(A423&lt;'拟合与方案'!$C$15,"",SQRT('拟合与方案'!$F$15^2+('拟合与方案'!$G$15*(A423-'拟合与方案'!$H$15))^2))</x:f>
        <x:v>6515.180497260719</x:v>
      </x:c>
      <x:c r="I423" s="92" t="n">
        <x:f>C423</x:f>
        <x:v>4160.464139356862</x:v>
      </x:c>
      <x:c r="J423" s="92" t="n">
        <x:f>IF(H423="","",MAX(H423,I423)/MIN(H423,I423))</x:f>
        <x:v>1.5659744391566506</x:v>
      </x:c>
    </x:row>
    <x:row r="424" ht="15" hidden="0" customHeight="1">
      <x:c r="A424" s="92" t="n">
        <x:v>331</x:v>
      </x:c>
      <x:c r="B424" s="92" t="n">
        <x:f>SQRT('拟合与方案'!$B$7^2+('拟合与方案'!$C$7*(A424-'拟合与方案'!$D$7))^2)</x:f>
        <x:v>3895.3577991110315</x:v>
      </x:c>
      <x:c r="C424" s="92" t="n">
        <x:f>SQRT('拟合与方案'!$B$8^2+('拟合与方案'!$C$8*(A424-'拟合与方案'!$D$8))^2)</x:f>
        <x:v>4181.986246186462</x:v>
      </x:c>
      <x:c r="D424" s="92" t="n">
        <x:f>MAX(B424,C424)/MIN(B424,C424)</x:f>
        <x:v>1.0735820589166014</x:v>
      </x:c>
      <x:c r="E424" s="92" t="n">
        <x:f>IF(A424&lt;'拟合与方案'!$C$13,"",SQRT('拟合与方案'!$F$13^2+('拟合与方案'!$G$13*(A424-'拟合与方案'!$H$13))^2))</x:f>
        <x:v>5272.680532003019</x:v>
      </x:c>
      <x:c r="F424" s="92" t="n">
        <x:f>C424</x:f>
        <x:v>4181.986246186462</x:v>
      </x:c>
      <x:c r="G424" s="92" t="n">
        <x:f>IF(E424="","",MAX(E424,F424)/MIN(E424,F424))</x:f>
        <x:v>1.2608077171012115</x:v>
      </x:c>
      <x:c r="H424" s="92" t="n">
        <x:f>IF(A424&lt;'拟合与方案'!$C$15,"",SQRT('拟合与方案'!$F$15^2+('拟合与方案'!$G$15*(A424-'拟合与方案'!$H$15))^2))</x:f>
        <x:v>6549.230277021907</x:v>
      </x:c>
      <x:c r="I424" s="92" t="n">
        <x:f>C424</x:f>
        <x:v>4181.986246186462</x:v>
      </x:c>
      <x:c r="J424" s="92" t="n">
        <x:f>IF(H424="","",MAX(H424,I424)/MIN(H424,I424))</x:f>
        <x:v>1.5660573448786748</x:v>
      </x:c>
    </x:row>
    <x:row r="425" ht="15" hidden="0" customHeight="1">
      <x:c r="A425" s="92" t="n">
        <x:v>331.5</x:v>
      </x:c>
      <x:c r="B425" s="92" t="n">
        <x:f>SQRT('拟合与方案'!$B$7^2+('拟合与方案'!$C$7*(A425-'拟合与方案'!$D$7))^2)</x:f>
        <x:v>3914.5735910474064</x:v>
      </x:c>
      <x:c r="C425" s="92" t="n">
        <x:f>SQRT('拟合与方案'!$B$8^2+('拟合与方案'!$C$8*(A425-'拟合与方案'!$D$8))^2)</x:f>
        <x:v>4203.510058851482</x:v>
      </x:c>
      <x:c r="D425" s="92" t="n">
        <x:f>MAX(B425,C425)/MIN(B425,C425)</x:f>
        <x:v>1.0738104575335794</x:v>
      </x:c>
      <x:c r="E425" s="92" t="n">
        <x:f>IF(A425&lt;'拟合与方案'!$C$13,"",SQRT('拟合与方案'!$F$13^2+('拟合与方案'!$G$13*(A425-'拟合与方案'!$H$13))^2))</x:f>
        <x:v>5299.825126195099</x:v>
      </x:c>
      <x:c r="F425" s="92" t="n">
        <x:f>C425</x:f>
        <x:v>4203.510058851482</x:v>
      </x:c>
      <x:c r="G425" s="92" t="n">
        <x:f>IF(E425="","",MAX(E425,F425)/MIN(E425,F425))</x:f>
        <x:v>1.2608094311645732</x:v>
      </x:c>
      <x:c r="H425" s="92" t="n">
        <x:f>IF(A425&lt;'拟合与方案'!$C$15,"",SQRT('拟合与方案'!$F$15^2+('拟合与方案'!$G$15*(A425-'拟合与方案'!$H$15))^2))</x:f>
        <x:v>6583.281158140446</x:v>
      </x:c>
      <x:c r="I425" s="92" t="n">
        <x:f>C425</x:f>
        <x:v>4203.510058851482</x:v>
      </x:c>
      <x:c r="J425" s="92" t="n">
        <x:f>IF(H425="","",MAX(H425,I425)/MIN(H425,I425))</x:f>
        <x:v>1.5661390280910101</x:v>
      </x:c>
    </x:row>
    <x:row r="426" ht="15" hidden="0" customHeight="1">
      <x:c r="A426" s="92" t="n">
        <x:v>332</x:v>
      </x:c>
      <x:c r="B426" s="92" t="n">
        <x:f>SQRT('拟合与方案'!$B$7^2+('拟合与方案'!$C$7*(A426-'拟合与方案'!$D$7))^2)</x:f>
        <x:v>3933.794540543381</x:v>
      </x:c>
      <x:c r="C426" s="92" t="n">
        <x:f>SQRT('拟合与方案'!$B$8^2+('拟合与方案'!$C$8*(A426-'拟合与方案'!$D$8))^2)</x:f>
        <x:v>4225.035551281548</x:v>
      </x:c>
      <x:c r="D426" s="92" t="n">
        <x:f>MAX(B426,C426)/MIN(B426,C426)</x:f>
        <x:v>1.074035643635302</x:v>
      </x:c>
      <x:c r="E426" s="92" t="n">
        <x:f>IF(A426&lt;'拟合与方案'!$C$13,"",SQRT('拟合与方案'!$F$13^2+('拟合与方案'!$G$13*(A426-'拟合与方案'!$H$13))^2))</x:f>
        <x:v>5326.971798714986</x:v>
      </x:c>
      <x:c r="F426" s="92" t="n">
        <x:f>C426</x:f>
        <x:v>4225.035551281548</x:v>
      </x:c>
      <x:c r="G426" s="92" t="n">
        <x:f>IF(E426="","",MAX(E426,F426)/MIN(E426,F426))</x:f>
        <x:v>1.2608111184056656</x:v>
      </x:c>
      <x:c r="H426" s="92" t="n">
        <x:f>IF(A426&lt;'拟合与方案'!$C$15,"",SQRT('拟合与方案'!$F$15^2+('拟合与方案'!$G$15*(A426-'拟合与方案'!$H$15))^2))</x:f>
        <x:v>6617.333123614538</x:v>
      </x:c>
      <x:c r="I426" s="92" t="n">
        <x:f>C426</x:f>
        <x:v>4225.035551281548</x:v>
      </x:c>
      <x:c r="J426" s="92" t="n">
        <x:f>IF(H426="","",MAX(H426,I426)/MIN(H426,I426))</x:f>
        <x:v>1.566219513018619</x:v>
      </x:c>
    </x:row>
    <x:row r="427" ht="15" hidden="0" customHeight="1">
      <x:c r="A427" s="92" t="n">
        <x:v>332.5</x:v>
      </x:c>
      <x:c r="B427" s="92" t="n">
        <x:f>SQRT('拟合与方案'!$B$7^2+('拟合与方案'!$C$7*(A427-'拟合与方案'!$D$7))^2)</x:f>
        <x:v>3953.020572365454</x:v>
      </x:c>
      <x:c r="C427" s="92" t="n">
        <x:f>SQRT('拟合与方案'!$B$8^2+('拟合与方案'!$C$8*(A427-'拟合与方案'!$D$8))^2)</x:f>
        <x:v>4246.562697932868</x:v>
      </x:c>
      <x:c r="D427" s="92" t="n">
        <x:f>MAX(B427,C427)/MIN(B427,C427)</x:f>
        <x:v>1.0742576771847563</x:v>
      </x:c>
      <x:c r="E427" s="92" t="n">
        <x:f>IF(A427&lt;'拟合与方案'!$C$13,"",SQRT('拟合与方案'!$F$13^2+('拟合与方案'!$G$13*(A427-'拟合与方案'!$H$13))^2))</x:f>
        <x:v>5354.12051794982</x:v>
      </x:c>
      <x:c r="F427" s="92" t="n">
        <x:f>C427</x:f>
        <x:v>4246.562697932868</x:v>
      </x:c>
      <x:c r="G427" s="92" t="n">
        <x:f>IF(E427="","",MAX(E427,F427)/MIN(E427,F427))</x:f>
        <x:v>1.260812779370027</x:v>
      </x:c>
      <x:c r="H427" s="92" t="n">
        <x:f>IF(A427&lt;'拟合与方案'!$C$15,"",SQRT('拟合与方案'!$F$15^2+('拟合与方案'!$G$15*(A427-'拟合与方案'!$H$15))^2))</x:f>
        <x:v>6651.386156790011</x:v>
      </x:c>
      <x:c r="I427" s="92" t="n">
        <x:f>C427</x:f>
        <x:v>4246.562697932868</x:v>
      </x:c>
      <x:c r="J427" s="92" t="n">
        <x:f>IF(H427="","",MAX(H427,I427)/MIN(H427,I427))</x:f>
        <x:v>1.5662988232877753</x:v>
      </x:c>
    </x:row>
    <x:row r="428" ht="15" hidden="0" customHeight="1">
      <x:c r="A428" s="92" t="n">
        <x:v>333</x:v>
      </x:c>
      <x:c r="B428" s="92" t="n">
        <x:f>SQRT('拟合与方案'!$B$7^2+('拟合与方案'!$C$7*(A428-'拟合与方案'!$D$7))^2)</x:f>
        <x:v>3972.25161271697</x:v>
      </x:c>
      <x:c r="C428" s="92" t="n">
        <x:f>SQRT('拟合与方案'!$B$8^2+('拟合与方案'!$C$8*(A428-'拟合与方案'!$D$8))^2)</x:f>
        <x:v>4268.091473775056</x:v>
      </x:c>
      <x:c r="D428" s="92" t="n">
        <x:f>MAX(B428,C428)/MIN(B428,C428)</x:f>
        <x:v>1.074476616765909</x:v>
      </x:c>
      <x:c r="E428" s="92" t="n">
        <x:f>IF(A428&lt;'拟合与方案'!$C$13,"",SQRT('拟合与方案'!$F$13^2+('拟合与方案'!$G$13*(A428-'拟合与方案'!$H$13))^2))</x:f>
        <x:v>5381.271252922336</x:v>
      </x:c>
      <x:c r="F428" s="92" t="n">
        <x:f>C428</x:f>
        <x:v>4268.091473775056</x:v>
      </x:c>
      <x:c r="G428" s="92" t="n">
        <x:f>IF(E428="","",MAX(E428,F428)/MIN(E428,F428))</x:f>
        <x:v>1.2608144145895475</x:v>
      </x:c>
      <x:c r="H428" s="92" t="n">
        <x:f>IF(A428&lt;'拟合与方案'!$C$15,"",SQRT('拟合与方案'!$F$15^2+('拟合与方案'!$G$15*(A428-'拟合与方案'!$H$15))^2))</x:f>
        <x:v>6685.440241351501</x:v>
      </x:c>
      <x:c r="I428" s="92" t="n">
        <x:f>C428</x:f>
        <x:v>4268.091473775056</x:v>
      </x:c>
      <x:c r="J428" s="92" t="n">
        <x:f>IF(H428="","",MAX(H428,I428)/MIN(H428,I428))</x:f>
        <x:v>1.566376981943721</x:v>
      </x:c>
    </x:row>
    <x:row r="429" ht="15" hidden="0" customHeight="1">
      <x:c r="A429" s="92" t="n">
        <x:v>333.5</x:v>
      </x:c>
      <x:c r="B429" s="92" t="n">
        <x:f>SQRT('拟合与方案'!$B$7^2+('拟合与方案'!$C$7*(A429-'拟合与方案'!$D$7))^2)</x:f>
        <x:v>3991.4875892044447</x:v>
      </x:c>
      <x:c r="C429" s="92" t="n">
        <x:f>SQRT('拟合与方案'!$B$8^2+('拟合与方案'!$C$8*(A429-'拟合与方案'!$D$8))^2)</x:f>
        <x:v>4289.621854278337</x:v>
      </x:c>
      <x:c r="D429" s="92" t="n">
        <x:f>MAX(B429,C429)/MIN(B429,C429)</x:f>
        <x:v>1.0746925196210655</x:v>
      </x:c>
      <x:c r="E429" s="92" t="n">
        <x:f>IF(A429&lt;'拟合与方案'!$C$13,"",SQRT('拟合与方案'!$F$13^2+('拟合与方案'!$G$13*(A429-'拟合与方案'!$H$13))^2))</x:f>
        <x:v>5408.423973275027</x:v>
      </x:c>
      <x:c r="F429" s="92" t="n">
        <x:f>C429</x:f>
        <x:v>4289.621854278337</x:v>
      </x:c>
      <x:c r="G429" s="92" t="n">
        <x:f>IF(E429="","",MAX(E429,F429)/MIN(E429,F429))</x:f>
        <x:v>1.2608160245828732</x:v>
      </x:c>
      <x:c r="H429" s="92" t="n">
        <x:f>IF(A429&lt;'拟合与方案'!$C$15,"",SQRT('拟合与方案'!$F$15^2+('拟合与方案'!$G$15*(A429-'拟合与方案'!$H$15))^2))</x:f>
        <x:v>6719.495361313883</x:v>
      </x:c>
      <x:c r="I429" s="92" t="n">
        <x:f>C429</x:f>
        <x:v>4289.621854278337</x:v>
      </x:c>
      <x:c r="J429" s="92" t="n">
        <x:f>IF(H429="","",MAX(H429,I429)/MIN(H429,I429))</x:f>
        <x:v>1.566454011467716</x:v>
      </x:c>
    </x:row>
    <x:row r="430" ht="15" hidden="0" customHeight="1">
      <x:c r="A430" s="92" t="n">
        <x:v>334</x:v>
      </x:c>
      <x:c r="B430" s="92" t="n">
        <x:f>SQRT('拟合与方案'!$B$7^2+('拟合与方案'!$C$7*(A430-'拟合与方案'!$D$7))^2)</x:f>
        <x:v>4010.728430804824</x:v>
      </x:c>
      <x:c r="C430" s="92" t="n">
        <x:f>SQRT('拟合与方案'!$B$8^2+('拟合与方案'!$C$8*(A430-'拟合与方案'!$D$8))^2)</x:f>
        <x:v>4311.153815401143</x:v>
      </x:c>
      <x:c r="D430" s="92" t="n">
        <x:f>MAX(B430,C430)/MIN(B430,C430)</x:f>
        <x:v>1.0749054416870687</x:v>
      </x:c>
      <x:c r="E430" s="92" t="n">
        <x:f>IF(A430&lt;'拟合与方案'!$C$13,"",SQRT('拟合与方案'!$F$13^2+('拟合与方案'!$G$13*(A430-'拟合与方案'!$H$13))^2))</x:f>
        <x:v>5435.57864925477</x:v>
      </x:c>
      <x:c r="F430" s="92" t="n">
        <x:f>C430</x:f>
        <x:v>4311.153815401143</x:v>
      </x:c>
      <x:c r="G430" s="92" t="n">
        <x:f>IF(E430="","",MAX(E430,F430)/MIN(E430,F430))</x:f>
        <x:v>1.2608176098557973</x:v>
      </x:c>
      <x:c r="H430" s="92" t="n">
        <x:f>IF(A430&lt;'拟合与方案'!$C$15,"",SQRT('拟合与方案'!$F$15^2+('拟合与方案'!$G$15*(A430-'拟合与方案'!$H$15))^2))</x:f>
        <x:v>6753.551501013976</x:v>
      </x:c>
      <x:c r="I430" s="92" t="n">
        <x:f>C430</x:f>
        <x:v>4311.153815401143</x:v>
      </x:c>
      <x:c r="J430" s="92" t="n">
        <x:f>IF(H430="","",MAX(H430,I430)/MIN(H430,I430))</x:f>
        <x:v>1.5665299337935066</x:v>
      </x:c>
    </x:row>
    <x:row r="431" ht="15" hidden="0" customHeight="1">
      <x:c r="A431" s="92" t="n">
        <x:v>334.5</x:v>
      </x:c>
      <x:c r="B431" s="92" t="n">
        <x:f>SQRT('拟合与方案'!$B$7^2+('拟合与方案'!$C$7*(A431-'拟合与方案'!$D$7))^2)</x:f>
        <x:v>4029.9740678336398</x:v>
      </x:c>
      <x:c r="C431" s="92" t="n">
        <x:f>SQRT('拟合与方案'!$B$8^2+('拟合与方案'!$C$8*(A431-'拟合与方案'!$D$8))^2)</x:f>
        <x:v>4332.687333578074</x:v>
      </x:c>
      <x:c r="D431" s="92" t="n">
        <x:f>MAX(B431,C431)/MIN(B431,C431)</x:f>
        <x:v>1.0751154376303869</x:v>
      </x:c>
      <x:c r="E431" s="92" t="n">
        <x:f>IF(A431&lt;'拟合与方案'!$C$13,"",SQRT('拟合与方案'!$F$13^2+('拟合与方案'!$G$13*(A431-'拟合与方案'!$H$13))^2))</x:f>
        <x:v>5462.735251697926</x:v>
      </x:c>
      <x:c r="F431" s="92" t="n">
        <x:f>C431</x:f>
        <x:v>4332.687333578074</x:v>
      </x:c>
      <x:c r="G431" s="92" t="n">
        <x:f>IF(E431="","",MAX(E431,F431)/MIN(E431,F431))</x:f>
        <x:v>1.2608191709016359</x:v>
      </x:c>
      <x:c r="H431" s="92" t="n">
        <x:f>IF(A431&lt;'拟合与方案'!$C$15,"",SQRT('拟合与方案'!$F$15^2+('拟合与方案'!$G$15*(A431-'拟合与方案'!$H$15))^2))</x:f>
        <x:v>6787.608645102486</x:v>
      </x:c>
      <x:c r="I431" s="92" t="n">
        <x:f>C431</x:f>
        <x:v>4332.687333578074</x:v>
      </x:c>
      <x:c r="J431" s="92" t="n">
        <x:f>IF(H431="","",MAX(H431,I431)/MIN(H431,I431))</x:f>
        <x:v>1.566604770323239</x:v>
      </x:c>
    </x:row>
    <x:row r="432" ht="15" hidden="0" customHeight="1">
      <x:c r="A432" s="92" t="n">
        <x:v>335</x:v>
      </x:c>
      <x:c r="B432" s="92" t="n">
        <x:f>SQRT('拟合与方案'!$B$7^2+('拟合与方案'!$C$7*(A432-'拟合与方案'!$D$7))^2)</x:f>
        <x:v>4049.224431914039</x:v>
      </x:c>
      <x:c r="C432" s="92" t="n">
        <x:f>SQRT('拟合与方案'!$B$8^2+('拟合与方案'!$C$8*(A432-'拟合与方案'!$D$8))^2)</x:f>
        <x:v>4354.222385708207</x:v>
      </x:c>
      <x:c r="D432" s="92" t="n">
        <x:f>MAX(B432,C432)/MIN(B432,C432)</x:f>
        <x:v>1.075322560881121</x:v>
      </x:c>
      <x:c r="E432" s="92" t="n">
        <x:f>IF(A432&lt;'拟合与方案'!$C$13,"",SQRT('拟合与方案'!$F$13^2+('拟合与方案'!$G$13*(A432-'拟合与方案'!$H$13))^2))</x:f>
        <x:v>5489.893752015854</x:v>
      </x:c>
      <x:c r="F432" s="92" t="n">
        <x:f>C432</x:f>
        <x:v>4354.222385708207</x:v>
      </x:c>
      <x:c r="G432" s="92" t="n">
        <x:f>IF(E432="","",MAX(E432,F432)/MIN(E432,F432))</x:f>
        <x:v>1.2608207082015936</x:v>
      </x:c>
      <x:c r="H432" s="92" t="n">
        <x:f>IF(A432&lt;'拟合与方案'!$C$15,"",SQRT('拟合与方案'!$F$15^2+('拟合与方案'!$G$15*(A432-'拟合与方案'!$H$15))^2))</x:f>
        <x:v>6821.666778536199</x:v>
      </x:c>
      <x:c r="I432" s="92" t="n">
        <x:f>C432</x:f>
        <x:v>4354.222385708207</x:v>
      </x:c>
      <x:c r="J432" s="92" t="n">
        <x:f>IF(H432="","",MAX(H432,I432)/MIN(H432,I432))</x:f>
        <x:v>1.5666785419428377</x:v>
      </x:c>
    </x:row>
    <x:row r="433" ht="15" hidden="0" customHeight="1">
      <x:c r="A433" s="92" t="n">
        <x:v>335.5</x:v>
      </x:c>
      <x:c r="B433" s="92" t="n">
        <x:f>SQRT('拟合与方案'!$B$7^2+('拟合与方案'!$C$7*(A433-'拟合与方案'!$D$7))^2)</x:f>
        <x:v>4068.4794559466563</x:v>
      </x:c>
      <x:c r="C433" s="92" t="n">
        <x:f>SQRT('拟合与方案'!$B$8^2+('拟合与方案'!$C$8*(A433-'拟合与方案'!$D$8))^2)</x:f>
        <x:v>4375.758949143747</x:v>
      </x:c>
      <x:c r="D433" s="92" t="n">
        <x:f>MAX(B433,C433)/MIN(B433,C433)</x:f>
        <x:v>1.0755268636659718</x:v>
      </x:c>
      <x:c r="E433" s="92" t="n">
        <x:f>IF(A433&lt;'拟合与方案'!$C$13,"",SQRT('拟合与方案'!$F$13^2+('拟合与方案'!$G$13*(A433-'拟合与方案'!$H$13))^2))</x:f>
        <x:v>5517.05412218086</x:v>
      </x:c>
      <x:c r="F433" s="92" t="n">
        <x:f>C433</x:f>
        <x:v>4375.758949143747</x:v>
      </x:c>
      <x:c r="G433" s="92" t="n">
        <x:f>IF(E433="","",MAX(E433,F433)/MIN(E433,F433))</x:f>
        <x:v>1.2608222222251166</x:v>
      </x:c>
      <x:c r="H433" s="92" t="n">
        <x:f>IF(A433&lt;'拟合与方案'!$C$15,"",SQRT('拟合与方案'!$F$15^2+('拟合与方案'!$G$15*(A433-'拟合与方案'!$H$15))^2))</x:f>
        <x:v>6855.725886570396</x:v>
      </x:c>
      <x:c r="I433" s="92" t="n">
        <x:f>C433</x:f>
        <x:v>4375.758949143747</x:v>
      </x:c>
      <x:c r="J433" s="92" t="n">
        <x:f>IF(H433="","",MAX(H433,I433)/MIN(H433,I433))</x:f>
        <x:v>1.566751269036868</x:v>
      </x:c>
    </x:row>
    <x:row r="434" ht="15" hidden="0" customHeight="1">
      <x:c r="A434" s="92" t="n">
        <x:v>336</x:v>
      </x:c>
      <x:c r="B434" s="92" t="n">
        <x:f>SQRT('拟合与方案'!$B$7^2+('拟合与方案'!$C$7*(A434-'拟合与方案'!$D$7))^2)</x:f>
        <x:v>4087.739074080305</x:v>
      </x:c>
      <x:c r="C434" s="92" t="n">
        <x:f>SQRT('拟合与方案'!$B$8^2+('拟合与方案'!$C$8*(A434-'拟合与方案'!$D$8))^2)</x:f>
        <x:v>4397.297001679012</x:v>
      </x:c>
      <x:c r="D434" s="92" t="n">
        <x:f>MAX(B434,C434)/MIN(B434,C434)</x:f>
        <x:v>1.0757283970402036</x:v>
      </x:c>
      <x:c r="E434" s="92" t="n">
        <x:f>IF(A434&lt;'拟合与方案'!$C$13,"",SQRT('拟合与方案'!$F$13^2+('拟合与方案'!$G$13*(A434-'拟合与方案'!$H$13))^2))</x:f>
        <x:v>5544.216334712556</x:v>
      </x:c>
      <x:c r="F434" s="92" t="n">
        <x:f>C434</x:f>
        <x:v>4397.297001679012</x:v>
      </x:c>
      <x:c r="G434" s="92" t="n">
        <x:f>IF(E434="","",MAX(E434,F434)/MIN(E434,F434))</x:f>
        <x:v>1.2608237134302318</x:v>
      </x:c>
      <x:c r="H434" s="92" t="n">
        <x:f>IF(A434&lt;'拟合与方案'!$C$15,"",SQRT('拟合与方案'!$F$15^2+('拟合与方案'!$G$15*(A434-'拟合与方案'!$H$15))^2))</x:f>
        <x:v>6889.785954751495</x:v>
      </x:c>
      <x:c r="I434" s="92" t="n">
        <x:f>C434</x:f>
        <x:v>4397.297001679012</x:v>
      </x:c>
      <x:c r="J434" s="92" t="n">
        <x:f>IF(H434="","",MAX(H434,I434)/MIN(H434,I434))</x:f>
        <x:v>1.5668229715028983</x:v>
      </x:c>
    </x:row>
    <x:row r="435" ht="15" hidden="0" customHeight="1">
      <x:c r="A435" s="92" t="n">
        <x:v>336.5</x:v>
      </x:c>
      <x:c r="B435" s="92" t="n">
        <x:f>SQRT('拟合与方案'!$B$7^2+('拟合与方案'!$C$7*(A435-'拟合与方案'!$D$7))^2)</x:f>
        <x:v>4107.003221683456</x:v>
      </x:c>
      <x:c r="C435" s="92" t="n">
        <x:f>SQRT('拟合与方案'!$B$8^2+('拟合与方案'!$C$8*(A435-'拟合与方案'!$D$8))^2)</x:f>
        <x:v>4418.836521539739</x:v>
      </x:c>
      <x:c r="D435" s="92" t="n">
        <x:f>MAX(B435,C435)/MIN(B435,C435)</x:f>
        <x:v>1.0759272109186373</x:v>
      </x:c>
      <x:c r="E435" s="92" t="n">
        <x:f>IF(A435&lt;'拟合与方案'!$C$13,"",SQRT('拟合与方案'!$F$13^2+('拟合与方案'!$G$13*(A435-'拟合与方案'!$H$13))^2))</x:f>
        <x:v>5571.38036266461</x:v>
      </x:c>
      <x:c r="F435" s="92" t="n">
        <x:f>C435</x:f>
        <x:v>4418.836521539739</x:v>
      </x:c>
      <x:c r="G435" s="92" t="n">
        <x:f>IF(E435="","",MAX(E435,F435)/MIN(E435,F435))</x:f>
        <x:v>1.2608251822638754</x:v>
      </x:c>
      <x:c r="H435" s="92" t="n">
        <x:f>IF(A435&lt;'拟合与方案'!$C$15,"",SQRT('拟合与方案'!$F$15^2+('拟合与方案'!$G$15*(A435-'拟合与方案'!$H$15))^2))</x:f>
        <x:v>6923.846968909918</x:v>
      </x:c>
      <x:c r="I435" s="92" t="n">
        <x:f>C435</x:f>
        <x:v>4418.836521539739</x:v>
      </x:c>
      <x:c r="J435" s="92" t="n">
        <x:f>IF(H435="","",MAX(H435,I435)/MIN(H435,I435))</x:f>
        <x:v>1.5668936687653952</x:v>
      </x:c>
    </x:row>
    <x:row r="436" ht="15" hidden="0" customHeight="1">
      <x:c r="A436" s="92" t="n">
        <x:v>337</x:v>
      </x:c>
      <x:c r="B436" s="92" t="n">
        <x:f>SQRT('拟合与方案'!$B$7^2+('拟合与方案'!$C$7*(A436-'拟合与方案'!$D$7))^2)</x:f>
        <x:v>4126.271835316494</x:v>
      </x:c>
      <x:c r="C436" s="92" t="n">
        <x:f>SQRT('拟合与方案'!$B$8^2+('拟合与方案'!$C$8*(A436-'拟合与方案'!$D$8))^2)</x:f>
        <x:v>4440.377487372683</x:v>
      </x:c>
      <x:c r="D436" s="92" t="n">
        <x:f>MAX(B436,C436)/MIN(B436,C436)</x:f>
        <x:v>1.0761233541057038</x:v>
      </x:c>
      <x:c r="E436" s="92" t="n">
        <x:f>IF(A436&lt;'拟合与方案'!$C$13,"",SQRT('拟合与方案'!$F$13^2+('拟合与方案'!$G$13*(A436-'拟合与方案'!$H$13))^2))</x:f>
        <x:v>5598.546179611879</x:v>
      </x:c>
      <x:c r="F436" s="92" t="n">
        <x:f>C436</x:f>
        <x:v>4440.377487372683</x:v>
      </x:c>
      <x:c r="G436" s="92" t="n">
        <x:f>IF(E436="","",MAX(E436,F436)/MIN(E436,F436))</x:f>
        <x:v>1.2608266291622132</x:v>
      </x:c>
      <x:c r="H436" s="92" t="n">
        <x:f>IF(A436&lt;'拟合与方案'!$C$15,"",SQRT('拟合与方案'!$F$15^2+('拟合与方案'!$G$15*(A436-'拟合与方案'!$H$15))^2))</x:f>
        <x:v>6957.908915153152</x:v>
      </x:c>
      <x:c r="I436" s="92" t="n">
        <x:f>C436</x:f>
        <x:v>4440.377487372683</x:v>
      </x:c>
      <x:c r="J436" s="92" t="n">
        <x:f>IF(H436="","",MAX(H436,I436)/MIN(H436,I436))</x:f>
        <x:v>1.5669633797891496</x:v>
      </x:c>
    </x:row>
    <x:row r="437" ht="15" hidden="0" customHeight="1">
      <x:c r="A437" s="92" t="n">
        <x:v>337.5</x:v>
      </x:c>
      <x:c r="B437" s="92" t="n">
        <x:f>SQRT('拟合与方案'!$B$7^2+('拟合与方案'!$C$7*(A437-'拟合与方案'!$D$7))^2)</x:f>
        <x:v>4145.544852704704</x:v>
      </x:c>
      <x:c r="C437" s="92" t="n">
        <x:f>SQRT('拟合与方案'!$B$8^2+('拟合与方案'!$C$8*(A437-'拟合与方案'!$D$8))^2)</x:f>
        <x:v>4461.919878235533</x:v>
      </x:c>
      <x:c r="D437" s="92" t="n">
        <x:f>MAX(B437,C437)/MIN(B437,C437)</x:f>
        <x:v>1.0763168743245932</x:v>
      </x:c>
      <x:c r="E437" s="92" t="n">
        <x:f>IF(A437&lt;'拟合与方案'!$C$13,"",SQRT('拟合与方案'!$F$13^2+('拟合与方案'!$G$13*(A437-'拟合与方案'!$H$13))^2))</x:f>
        <x:v>5625.713759637908</x:v>
      </x:c>
      <x:c r="F437" s="92" t="n">
        <x:f>C437</x:f>
        <x:v>4461.919878235533</x:v>
      </x:c>
      <x:c r="G437" s="92" t="n">
        <x:f>IF(E437="","",MAX(E437,F437)/MIN(E437,F437))</x:f>
        <x:v>1.2608280545509474</x:v>
      </x:c>
      <x:c r="H437" s="92" t="n">
        <x:f>IF(A437&lt;'拟合与方案'!$C$15,"",SQRT('拟合与方案'!$F$15^2+('拟合与方案'!$G$15*(A437-'拟合与方案'!$H$15))^2))</x:f>
        <x:v>6991.97177985902</x:v>
      </x:c>
      <x:c r="I437" s="92" t="n">
        <x:f>C437</x:f>
        <x:v>4461.919878235533</x:v>
      </x:c>
      <x:c r="J437" s="92" t="n">
        <x:f>IF(H437="","",MAX(H437,I437)/MIN(H437,I437))</x:f>
        <x:v>1.5670321230922677</x:v>
      </x:c>
    </x:row>
    <x:row r="438" ht="15" hidden="0" customHeight="1">
      <x:c r="A438" s="92" t="n">
        <x:v>338</x:v>
      </x:c>
      <x:c r="B438" s="92" t="n">
        <x:f>SQRT('拟合与方案'!$B$7^2+('拟合与方案'!$C$7*(A438-'拟合与方案'!$D$7))^2)</x:f>
        <x:v>4164.822212711998</x:v>
      </x:c>
      <x:c r="C438" s="92" t="n">
        <x:f>SQRT('拟合与方案'!$B$8^2+('拟合与方案'!$C$8*(A438-'拟合与方案'!$D$8))^2)</x:f>
        <x:v>4483.463673587105</x:v>
      </x:c>
      <x:c r="D438" s="92" t="n">
        <x:f>MAX(B438,C438)/MIN(B438,C438)</x:f>
        <x:v>1.076507818245528</x:v>
      </x:c>
      <x:c r="E438" s="92" t="n">
        <x:f>IF(A438&lt;'拟合与方案'!$C$13,"",SQRT('拟合与方案'!$F$13^2+('拟合与方案'!$G$13*(A438-'拟合与方案'!$H$13))^2))</x:f>
        <x:v>5652.883077322794</x:v>
      </x:c>
      <x:c r="F438" s="92" t="n">
        <x:f>C438</x:f>
        <x:v>4483.463673587105</x:v>
      </x:c>
      <x:c r="G438" s="92" t="n">
        <x:f>IF(E438="","",MAX(E438,F438)/MIN(E438,F438))</x:f>
        <x:v>1.2608294588456128</x:v>
      </x:c>
      <x:c r="H438" s="92" t="n">
        <x:f>IF(A438&lt;'拟合与方案'!$C$15,"",SQRT('拟合与方案'!$F$15^2+('拟合与方案'!$G$15*(A438-'拟合与方案'!$H$15))^2))</x:f>
        <x:v>7026.035549669149</x:v>
      </x:c>
      <x:c r="I438" s="92" t="n">
        <x:f>C438</x:f>
        <x:v>4483.463673587105</x:v>
      </x:c>
      <x:c r="J438" s="92" t="n">
        <x:f>IF(H438="","",MAX(H438,I438)/MIN(H438,I438))</x:f>
        <x:v>1.5670999167587314</x:v>
      </x:c>
    </x:row>
    <x:row r="439" ht="15" hidden="0" customHeight="1">
      <x:c r="A439" s="92" t="n">
        <x:v>338.5</x:v>
      </x:c>
      <x:c r="B439" s="92" t="n">
        <x:f>SQRT('拟合与方案'!$B$7^2+('拟合与方案'!$C$7*(A439-'拟合与方案'!$D$7))^2)</x:f>
        <x:v>4184.103855315321</x:v>
      </x:c>
      <x:c r="C439" s="92" t="n">
        <x:f>SQRT('拟合与方案'!$B$8^2+('拟合与方案'!$C$8*(A439-'拟合与方案'!$D$8))^2)</x:f>
        <x:v>4505.008853277815</x:v>
      </x:c>
      <x:c r="D439" s="92" t="n">
        <x:f>MAX(B439,C439)/MIN(B439,C439)</x:f>
        <x:v>1.0766962315131898</x:v>
      </x:c>
      <x:c r="E439" s="92" t="n">
        <x:f>IF(A439&lt;'拟合与方案'!$C$13,"",SQRT('拟合与方案'!$F$13^2+('拟合与方案'!$G$13*(A439-'拟合与方案'!$H$13))^2))</x:f>
        <x:v>5680.054107731383</x:v>
      </x:c>
      <x:c r="F439" s="92" t="n">
        <x:f>C439</x:f>
        <x:v>4505.008853277815</x:v>
      </x:c>
      <x:c r="G439" s="92" t="n">
        <x:f>IF(E439="","",MAX(E439,F439)/MIN(E439,F439))</x:f>
        <x:v>1.260830842451866</x:v>
      </x:c>
      <x:c r="H439" s="92" t="n">
        <x:f>IF(A439&lt;'拟合与方案'!$C$15,"",SQRT('拟合与方案'!$F$15^2+('拟合与方案'!$G$15*(A439-'拟合与方案'!$H$15))^2))</x:f>
        <x:v>7060.100211482622</x:v>
      </x:c>
      <x:c r="I439" s="92" t="n">
        <x:f>C439</x:f>
        <x:v>4505.008853277815</x:v>
      </x:c>
      <x:c r="J439" s="92" t="n">
        <x:f>IF(H439="","",MAX(H439,I439)/MIN(H439,I439))</x:f>
        <x:v>1.567166778450555</x:v>
      </x:c>
    </x:row>
    <x:row r="440" ht="15" hidden="0" customHeight="1">
      <x:c r="A440" s="92" t="n">
        <x:v>339</x:v>
      </x:c>
      <x:c r="B440" s="92" t="n">
        <x:f>SQRT('拟合与方案'!$B$7^2+('拟合与方案'!$C$7*(A440-'拟合与方案'!$D$7))^2)</x:f>
        <x:v>4203.389721579749</x:v>
      </x:c>
      <x:c r="C440" s="92" t="n">
        <x:f>SQRT('拟合与方案'!$B$8^2+('拟合与方案'!$C$8*(A440-'拟合与方案'!$D$8))^2)</x:f>
        <x:v>4526.5553975404255</x:v>
      </x:c>
      <x:c r="D440" s="92" t="n">
        <x:f>MAX(B440,C440)/MIN(B440,C440)</x:f>
        <x:v>1.0768821587733297</x:v>
      </x:c>
      <x:c r="E440" s="92" t="n">
        <x:f>IF(A440&lt;'拟合与方案'!$C$13,"",SQRT('拟合与方案'!$F$13^2+('拟合与方案'!$G$13*(A440-'拟合与方案'!$H$13))^2))</x:f>
        <x:v>5707.226826401811</x:v>
      </x:c>
      <x:c r="F440" s="92" t="n">
        <x:f>C440</x:f>
        <x:v>4526.5553975404255</x:v>
      </x:c>
      <x:c r="G440" s="92" t="n">
        <x:f>IF(E440="","",MAX(E440,F440)/MIN(E440,F440))</x:f>
        <x:v>1.2608322057657622</x:v>
      </x:c>
      <x:c r="H440" s="92" t="n">
        <x:f>IF(A440&lt;'拟合与方案'!$C$15,"",SQRT('拟合与方案'!$F$15^2+('拟合与方案'!$G$15*(A440-'拟合与方案'!$H$15))^2))</x:f>
        <x:v>7094.165752449813</x:v>
      </x:c>
      <x:c r="I440" s="92" t="n">
        <x:f>C440</x:f>
        <x:v>4526.5553975404255</x:v>
      </x:c>
      <x:c r="J440" s="92" t="n">
        <x:f>IF(H440="","",MAX(H440,I440)/MIN(H440,I440))</x:f>
        <x:v>1.5672327254195406</x:v>
      </x:c>
    </x:row>
    <x:row r="441" ht="15" hidden="0" customHeight="1">
      <x:c r="A441" s="92" t="n">
        <x:v>339.5</x:v>
      </x:c>
      <x:c r="B441" s="92" t="n">
        <x:f>SQRT('拟合与方案'!$B$7^2+('拟合与方案'!$C$7*(A441-'拟合与方案'!$D$7))^2)</x:f>
        <x:v>4222.6797536342365</x:v>
      </x:c>
      <x:c r="C441" s="92" t="n">
        <x:f>SQRT('拟合与方案'!$B$8^2+('拟合与方案'!$C$8*(A441-'拟合与方案'!$D$8))^2)</x:f>
        <x:v>4548.103286981041</x:v>
      </x:c>
      <x:c r="D441" s="92" t="n">
        <x:f>MAX(B441,C441)/MIN(B441,C441)</x:f>
        <x:v>1.0770656436985848</x:v>
      </x:c>
      <x:c r="E441" s="92" t="n">
        <x:f>IF(A441&lt;'拟合与方案'!$C$13,"",SQRT('拟合与方案'!$F$13^2+('拟合与方案'!$G$13*(A441-'拟合与方案'!$H$13))^2))</x:f>
        <x:v>5734.401209334365</x:v>
      </x:c>
      <x:c r="F441" s="92" t="n">
        <x:f>C441</x:f>
        <x:v>4548.103286981041</x:v>
      </x:c>
      <x:c r="G441" s="92" t="n">
        <x:f>IF(E441="","",MAX(E441,F441)/MIN(E441,F441))</x:f>
        <x:v>1.2608335491740275</x:v>
      </x:c>
      <x:c r="H441" s="92" t="n">
        <x:f>IF(A441&lt;'拟合与方案'!$C$15,"",SQRT('拟合与方案'!$F$15^2+('拟合与方案'!$G$15*(A441-'拟合与方案'!$H$15))^2))</x:f>
        <x:v>7128.232159966399</x:v>
      </x:c>
      <x:c r="I441" s="92" t="n">
        <x:f>C441</x:f>
        <x:v>4548.103286981041</x:v>
      </x:c>
      <x:c r="J441" s="92" t="n">
        <x:f>IF(H441="","",MAX(H441,I441)/MIN(H441,I441))</x:f>
        <x:v>1.5672977745186627</x:v>
      </x:c>
    </x:row>
    <x:row r="442" ht="15" hidden="0" customHeight="1">
      <x:c r="A442" s="92" t="n">
        <x:v>340</x:v>
      </x:c>
      <x:c r="B442" s="92" t="n">
        <x:f>SQRT('拟合与方案'!$B$7^2+('拟合与方案'!$C$7*(A442-'拟合与方案'!$D$7))^2)</x:f>
        <x:v>4241.973894648007</x:v>
      </x:c>
      <x:c r="C442" s="92" t="n">
        <x:f>SQRT('拟合与方案'!$B$8^2+('拟合与方案'!$C$8*(A442-'拟合与方案'!$D$8))^2)</x:f>
        <x:v>4569.652502570372</x:v>
      </x:c>
      <x:c r="D442" s="92" t="n">
        <x:f>MAX(B442,C442)/MIN(B442,C442)</x:f>
        <x:v>1.077246729013535</x:v>
      </x:c>
      <x:c r="E442" s="92" t="n">
        <x:f>IF(A442&lt;'拟合与方案'!$C$13,"",SQRT('拟合与方案'!$F$13^2+('拟合与方案'!$G$13*(A442-'拟合与方案'!$H$13))^2))</x:f>
        <x:v>5761.577232980652</x:v>
      </x:c>
      <x:c r="F442" s="92" t="n">
        <x:f>C442</x:f>
        <x:v>4569.652502570372</x:v>
      </x:c>
      <x:c r="G442" s="92" t="n">
        <x:f>IF(E442="","",MAX(E442,F442)/MIN(E442,F442))</x:f>
        <x:v>1.260834873054316</x:v>
      </x:c>
      <x:c r="H442" s="92" t="n">
        <x:f>IF(A442&lt;'拟合与方案'!$C$15,"",SQRT('拟合与方案'!$F$15^2+('拟合与方案'!$G$15*(A442-'拟合与方案'!$H$15))^2))</x:f>
        <x:v>7162.299421667541</x:v>
      </x:c>
      <x:c r="I442" s="92" t="n">
        <x:f>C442</x:f>
        <x:v>4569.652502570372</x:v>
      </x:c>
      <x:c r="J442" s="92" t="n">
        <x:f>IF(H442="","",MAX(H442,I442)/MIN(H442,I442))</x:f>
        <x:v>1.5673619422130758</x:v>
      </x:c>
    </x:row>
    <x:row r="443" ht="15" hidden="0" customHeight="1">
      <x:c r="A443" s="92" t="n">
        <x:v>340.5</x:v>
      </x:c>
      <x:c r="B443" s="92" t="n">
        <x:f>SQRT('拟合与方案'!$B$7^2+('拟合与方案'!$C$7*(A443-'拟合与方案'!$D$7))^2)</x:f>
        <x:v>4261.27208880756</x:v>
      </x:c>
      <x:c r="C443" s="92" t="n">
        <x:f>SQRT('拟合与方案'!$B$8^2+('拟合与方案'!$C$8*(A443-'拟合与方案'!$D$8))^2)</x:f>
        <x:v>4591.203025635235</x:v>
      </x:c>
      <x:c r="D443" s="92" t="n">
        <x:f>MAX(B443,C443)/MIN(B443,C443)</x:f>
        <x:v>1.077425456519018</x:v>
      </x:c>
      <x:c r="E443" s="92" t="n">
        <x:f>IF(A443&lt;'拟合与方案'!$C$13,"",SQRT('拟合与方案'!$F$13^2+('拟合与方案'!$G$13*(A443-'拟合与方案'!$H$13))^2))</x:f>
        <x:v>5788.754874233072</x:v>
      </x:c>
      <x:c r="F443" s="92" t="n">
        <x:f>C443</x:f>
        <x:v>4591.203025635235</x:v>
      </x:c>
      <x:c r="G443" s="92" t="n">
        <x:f>IF(E443="","",MAX(E443,F443)/MIN(E443,F443))</x:f>
        <x:v>1.2608361777754633</x:v>
      </x:c>
      <x:c r="H443" s="92" t="n">
        <x:f>IF(A443&lt;'拟合与方案'!$C$15,"",SQRT('拟合与方案'!$F$15^2+('拟合与方案'!$G$15*(A443-'拟合与方案'!$H$15))^2))</x:f>
        <x:v>7196.367525422233</x:v>
      </x:c>
      <x:c r="I443" s="92" t="n">
        <x:f>C443</x:f>
        <x:v>4591.203025635235</x:v>
      </x:c>
      <x:c r="J443" s="92" t="n">
        <x:f>IF(H443="","",MAX(H443,I443)/MIN(H443,I443))</x:f>
        <x:v>1.567425244590779</x:v>
      </x:c>
    </x:row>
    <x:row r="444" ht="15" hidden="0" customHeight="1">
      <x:c r="A444" s="92" t="n">
        <x:v>341</x:v>
      </x:c>
      <x:c r="B444" s="92" t="n">
        <x:f>SQRT('拟合与方案'!$B$7^2+('拟合与方案'!$C$7*(A444-'拟合与方案'!$D$7))^2)</x:f>
        <x:v>4280.5742812942735</x:v>
      </x:c>
      <x:c r="C444" s="92" t="n">
        <x:f>SQRT('拟合与方案'!$B$8^2+('拟合与方案'!$C$8*(A444-'拟合与方案'!$D$8))^2)</x:f>
        <x:v>4612.754837850275</x:v>
      </x:c>
      <x:c r="D444" s="92" t="n">
        <x:f>MAX(B444,C444)/MIN(B444,C444)</x:f>
        <x:v>1.0776018671157281</x:v>
      </x:c>
      <x:c r="E444" s="92" t="n">
        <x:f>IF(A444&lt;'拟合与方案'!$C$13,"",SQRT('拟合与方案'!$F$13^2+('拟合与方案'!$G$13*(A444-'拟合与方案'!$H$13))^2))</x:f>
        <x:v>5815.934110414585</x:v>
      </x:c>
      <x:c r="F444" s="92" t="n">
        <x:f>C444</x:f>
        <x:v>4612.754837850275</x:v>
      </x:c>
      <x:c r="G444" s="92" t="n">
        <x:f>IF(E444="","",MAX(E444,F444)/MIN(E444,F444))</x:f>
        <x:v>1.2608374636977322</x:v>
      </x:c>
      <x:c r="H444" s="92" t="n">
        <x:f>IF(A444&lt;'拟合与方案'!$C$15,"",SQRT('拟合与方案'!$F$15^2+('拟合与方案'!$G$15*(A444-'拟合与方案'!$H$15))^2))</x:f>
        <x:v>7230.436459327802</x:v>
      </x:c>
      <x:c r="I444" s="92" t="n">
        <x:f>C444</x:f>
        <x:v>4612.754837850275</x:v>
      </x:c>
      <x:c r="J444" s="92" t="n">
        <x:f>IF(H444="","",MAX(H444,I444)/MIN(H444,I444))</x:f>
        <x:v>1.5674876973729368</x:v>
      </x:c>
    </x:row>
    <x:row r="445" ht="15" hidden="0" customHeight="1">
      <x:c r="A445" s="92" t="n">
        <x:v>341.5</x:v>
      </x:c>
      <x:c r="B445" s="92" t="n">
        <x:f>SQRT('拟合与方案'!$B$7^2+('拟合与方案'!$C$7*(A445-'拟合与方案'!$D$7))^2)</x:f>
        <x:v>4299.880418262594</x:v>
      </x:c>
      <x:c r="C445" s="92" t="n">
        <x:f>SQRT('拟合与方案'!$B$8^2+('拟合与方案'!$C$8*(A445-'拟合与方案'!$D$8))^2)</x:f>
        <x:v>4634.307921229948</x:v>
      </x:c>
      <x:c r="D445" s="92" t="n">
        <x:f>MAX(B445,C445)/MIN(B445,C445)</x:f>
        <x:v>1.0777760008271307</x:v>
      </x:c>
      <x:c r="E445" s="92" t="n">
        <x:f>IF(A445&lt;'拟合与方案'!$C$13,"",SQRT('拟合与方案'!$F$13^2+('拟合与方案'!$G$13*(A445-'拟合与方案'!$H$13))^2))</x:f>
        <x:v>5843.114919268768</x:v>
      </x:c>
      <x:c r="F445" s="92" t="n">
        <x:f>C445</x:f>
        <x:v>4634.307921229948</x:v>
      </x:c>
      <x:c r="G445" s="92" t="n">
        <x:f>IF(E445="","",MAX(E445,F445)/MIN(E445,F445))</x:f>
        <x:v>1.260838731173047</x:v>
      </x:c>
      <x:c r="H445" s="92" t="n">
        <x:f>IF(A445&lt;'拟合与方案'!$C$15,"",SQRT('拟合与方案'!$F$15^2+('拟合与方案'!$G$15*(A445-'拟合与方案'!$H$15))^2))</x:f>
        <x:v>7264.506211704578</x:v>
      </x:c>
      <x:c r="I445" s="92" t="n">
        <x:f>C445</x:f>
        <x:v>4634.307921229948</x:v>
      </x:c>
      <x:c r="J445" s="92" t="n">
        <x:f>IF(H445="","",MAX(H445,I445)/MIN(H445,I445))</x:f>
        <x:v>1.5675493159238703</x:v>
      </x:c>
    </x:row>
    <x:row r="446" ht="15" hidden="0" customHeight="1">
      <x:c r="A446" s="92" t="n">
        <x:v>342</x:v>
      </x:c>
      <x:c r="B446" s="92" t="n">
        <x:f>SQRT('拟合与方案'!$B$7^2+('拟合与方案'!$C$7*(A446-'拟合与方案'!$D$7))^2)</x:f>
        <x:v>4319.190446818788</x:v>
      </x:c>
      <x:c r="C446" s="92" t="n">
        <x:f>SQRT('拟合与方案'!$B$8^2+('拟合与方案'!$C$8*(A446-'拟合与方案'!$D$8))^2)</x:f>
        <x:v>4655.862258120691</x:v>
      </x:c>
      <x:c r="D446" s="92" t="n">
        <x:f>MAX(B446,C446)/MIN(B446,C446)</x:f>
        <x:v>1.0779478968217</x:v>
      </x:c>
      <x:c r="E446" s="92" t="n">
        <x:f>IF(A446&lt;'拟合与方案'!$C$13,"",SQRT('拟合与方案'!$F$13^2+('拟合与方案'!$G$13*(A446-'拟合与方案'!$H$13))^2))</x:f>
        <x:v>5870.297278950125</x:v>
      </x:c>
      <x:c r="F446" s="92" t="n">
        <x:f>C446</x:f>
        <x:v>4655.862258120691</x:v>
      </x:c>
      <x:c r="G446" s="92" t="n">
        <x:f>IF(E446="","",MAX(E446,F446)/MIN(E446,F446))</x:f>
        <x:v>1.2608399805452217</x:v>
      </x:c>
      <x:c r="H446" s="92" t="n">
        <x:f>IF(A446&lt;'拟合与方案'!$C$15,"",SQRT('拟合与方案'!$F$15^2+('拟合与方案'!$G$15*(A446-'拟合与方案'!$H$15))^2))</x:f>
        <x:v>7298.5767710906875</x:v>
      </x:c>
      <x:c r="I446" s="92" t="n">
        <x:f>C446</x:f>
        <x:v>4655.862258120691</x:v>
      </x:c>
      <x:c r="J446" s="92" t="n">
        <x:f>IF(H446="","",MAX(H446,I446)/MIN(H446,I446))</x:f>
        <x:v>1.5676101152607362</x:v>
      </x:c>
    </x:row>
    <x:row r="447" ht="15" hidden="0" customHeight="1">
      <x:c r="A447" s="92" t="n">
        <x:v>342.5</x:v>
      </x:c>
      <x:c r="B447" s="92" t="n">
        <x:f>SQRT('拟合与方案'!$B$7^2+('拟合与方案'!$C$7*(A447-'拟合与方案'!$D$7))^2)</x:f>
        <x:v>4338.504315000244</x:v>
      </x:c>
      <x:c r="C447" s="92" t="n">
        <x:f>SQRT('拟合与方案'!$B$8^2+('拟合与方案'!$C$8*(A447-'拟合与方案'!$D$8))^2)</x:f>
        <x:v>4677.417831193328</x:v>
      </x:c>
      <x:c r="D447" s="92" t="n">
        <x:f>MAX(B447,C447)/MIN(B447,C447)</x:f>
        <x:v>1.0781175934345164</x:v>
      </x:c>
      <x:c r="E447" s="92" t="n">
        <x:f>IF(A447&lt;'拟合与方案'!$C$13,"",SQRT('拟合与方案'!$F$13^2+('拟合与方案'!$G$13*(A447-'拟合与方案'!$H$13))^2))</x:f>
        <x:v>5897.48116801468</x:v>
      </x:c>
      <x:c r="F447" s="92" t="n">
        <x:f>C447</x:f>
        <x:v>4677.417831193328</x:v>
      </x:c>
      <x:c r="G447" s="92" t="n">
        <x:f>IF(E447="","",MAX(E447,F447)/MIN(E447,F447))</x:f>
        <x:v>1.260841212150184</x:v>
      </x:c>
      <x:c r="H447" s="92" t="n">
        <x:f>IF(A447&lt;'拟合与方案'!$C$15,"",SQRT('拟合与方案'!$F$15^2+('拟合与方案'!$G$15*(A447-'拟合与方案'!$H$15))^2))</x:f>
        <x:v>7332.648126237022</x:v>
      </x:c>
      <x:c r="I447" s="92" t="n">
        <x:f>C447</x:f>
        <x:v>4677.417831193328</x:v>
      </x:c>
      <x:c r="J447" s="92" t="n">
        <x:f>IF(H447="","",MAX(H447,I447)/MIN(H447,I447))</x:f>
        <x:v>1.5676701100629011</x:v>
      </x:c>
    </x:row>
    <x:row r="448" ht="15" hidden="0" customHeight="1">
      <x:c r="A448" s="92" t="n">
        <x:v>343</x:v>
      </x:c>
      <x:c r="B448" s="92" t="n">
        <x:f>SQRT('拟合与方案'!$B$7^2+('拟合与方案'!$C$7*(A448-'拟合与方案'!$D$7))^2)</x:f>
        <x:v>4357.821971755302</x:v>
      </x:c>
      <x:c r="C448" s="92" t="n">
        <x:f>SQRT('拟合与方案'!$B$8^2+('拟合与方案'!$C$8*(A448-'拟合与方案'!$D$8))^2)</x:f>
        <x:v>4698.974623435673</x:v>
      </x:c>
      <x:c r="D448" s="92" t="n">
        <x:f>MAX(B448,C448)/MIN(B448,C448)</x:f>
        <x:v>1.0782851281882349</x:v>
      </x:c>
      <x:c r="E448" s="92" t="n">
        <x:f>IF(A448&lt;'拟合与方案'!$C$13,"",SQRT('拟合与方案'!$F$13^2+('拟合与方案'!$G$13*(A448-'拟合与方案'!$H$13))^2))</x:f>
        <x:v>5924.666565410832</x:v>
      </x:c>
      <x:c r="F448" s="92" t="n">
        <x:f>C448</x:f>
        <x:v>4698.974623435673</x:v>
      </x:c>
      <x:c r="G448" s="92" t="n">
        <x:f>IF(E448="","",MAX(E448,F448)/MIN(E448,F448))</x:f>
        <x:v>1.2608424263161886</x:v>
      </x:c>
      <x:c r="H448" s="92" t="n">
        <x:f>IF(A448&lt;'拟合与方案'!$C$15,"",SQRT('拟合与方案'!$F$15^2+('拟合与方案'!$G$15*(A448-'拟合与方案'!$H$15))^2))</x:f>
        <x:v>7366.720266102317</x:v>
      </x:c>
      <x:c r="I448" s="92" t="n">
        <x:f>C448</x:f>
        <x:v>4698.974623435673</x:v>
      </x:c>
      <x:c r="J448" s="92" t="n">
        <x:f>IF(H448="","",MAX(H448,I448)/MIN(H448,I448))</x:f>
        <x:v>1.5677293146810212</x:v>
      </x:c>
    </x:row>
    <x:row r="449" ht="15" hidden="0" customHeight="1">
      <x:c r="A449" s="92" t="n">
        <x:v>343.5</x:v>
      </x:c>
      <x:c r="B449" s="92" t="n">
        <x:f>SQRT('拟合与方案'!$B$7^2+('拟合与方案'!$C$7*(A449-'拟合与方案'!$D$7))^2)</x:f>
        <x:v>4377.143366923599</x:v>
      </x:c>
      <x:c r="C449" s="92" t="n">
        <x:f>SQRT('拟合与方案'!$B$8^2+('拟合与方案'!$C$8*(A449-'拟合与方案'!$D$8))^2)</x:f>
        <x:v>4720.532618145338</x:v>
      </x:c>
      <x:c r="D449" s="92" t="n">
        <x:f>MAX(B449,C449)/MIN(B449,C449)</x:f>
        <x:v>1.0784505378134517</x:v>
      </x:c>
      <x:c r="E449" s="92" t="n">
        <x:f>IF(A449&lt;'拟合与方案'!$C$13,"",SQRT('拟合与方案'!$F$13^2+('拟合与方案'!$G$13*(A449-'拟合与方案'!$H$13))^2))</x:f>
        <x:v>5951.85345047043</x:v>
      </x:c>
      <x:c r="F449" s="92" t="n">
        <x:f>C449</x:f>
        <x:v>4720.532618145338</x:v>
      </x:c>
      <x:c r="G449" s="92" t="n">
        <x:f>IF(E449="","",MAX(E449,F449)/MIN(E449,F449))</x:f>
        <x:v>1.260843623364024</x:v>
      </x:c>
      <x:c r="H449" s="92" t="n">
        <x:f>IF(A449&lt;'拟合与方案'!$C$15,"",SQRT('拟合与方案'!$F$15^2+('拟合与方案'!$G$15*(A449-'拟合与方案'!$H$15))^2))</x:f>
        <x:v>7400.793179848387</x:v>
      </x:c>
      <x:c r="I449" s="92" t="n">
        <x:f>C449</x:f>
        <x:v>4720.532618145338</x:v>
      </x:c>
      <x:c r="J449" s="92" t="n">
        <x:f>IF(H449="","",MAX(H449,I449)/MIN(H449,I449))</x:f>
        <x:v>1.5677877431458365</x:v>
      </x:c>
    </x:row>
    <x:row r="450" ht="15" hidden="0" customHeight="1">
      <x:c r="A450" s="92" t="n">
        <x:v>344</x:v>
      </x:c>
      <x:c r="B450" s="92" t="n">
        <x:f>SQRT('拟合与方案'!$B$7^2+('拟合与方案'!$C$7*(A450-'拟合与方案'!$D$7))^2)</x:f>
        <x:v>4396.468451216923</x:v>
      </x:c>
      <x:c r="C450" s="92" t="n">
        <x:f>SQRT('拟合与方案'!$B$8^2+('拟合与方案'!$C$8*(A450-'拟合与方案'!$D$8))^2)</x:f>
        <x:v>4742.091798922736</x:v>
      </x:c>
      <x:c r="D450" s="92" t="n">
        <x:f>MAX(B450,C450)/MIN(B450,C450)</x:f>
        <x:v>1.0786138582684806</x:v>
      </x:c>
      <x:c r="E450" s="92" t="n">
        <x:f>IF(A450&lt;'拟合与方案'!$C$13,"",SQRT('拟合与方案'!$F$13^2+('拟合与方案'!$G$13*(A450-'拟合与方案'!$H$13))^2))</x:f>
        <x:v>5979.041802900122</x:v>
      </x:c>
      <x:c r="F450" s="92" t="n">
        <x:f>C450</x:f>
        <x:v>4742.091798922736</x:v>
      </x:c>
      <x:c r="G450" s="92" t="n">
        <x:f>IF(E450="","",MAX(E450,F450)/MIN(E450,F450))</x:f>
        <x:v>1.2608448036072148</x:v>
      </x:c>
      <x:c r="H450" s="92" t="n">
        <x:f>IF(A450&lt;'拟合与方案'!$C$15,"",SQRT('拟合与方案'!$F$15^2+('拟合与方案'!$G$15*(A450-'拟合与方案'!$H$15))^2))</x:f>
        <x:v>7434.866856835487</x:v>
      </x:c>
      <x:c r="I450" s="92" t="n">
        <x:f>C450</x:f>
        <x:v>4742.091798922736</x:v>
      </x:c>
      <x:c r="J450" s="92" t="n">
        <x:f>IF(H450="","",MAX(H450,I450)/MIN(H450,I450))</x:f>
        <x:v>1.5678454091766991</x:v>
      </x:c>
    </x:row>
    <x:row r="451" ht="15" hidden="0" customHeight="1">
      <x:c r="A451" s="92" t="n">
        <x:v>344.5</x:v>
      </x:c>
      <x:c r="B451" s="92" t="n">
        <x:f>SQRT('拟合与方案'!$B$7^2+('拟合与方案'!$C$7*(A451-'拟合与方案'!$D$7))^2)</x:f>
        <x:v>4415.797176200542</x:v>
      </x:c>
      <x:c r="C451" s="92" t="n">
        <x:f>SQRT('拟合与方案'!$B$8^2+('拟合与方案'!$C$8*(A451-'拟合与方案'!$D$8))^2)</x:f>
        <x:v>4763.652149664268</x:v>
      </x:c>
      <x:c r="D451" s="92" t="n">
        <x:f>MAX(B451,C451)/MIN(B451,C451)</x:f>
        <x:v>1.078775124758567</x:v>
      </x:c>
      <x:c r="E451" s="92" t="n">
        <x:f>IF(A451&lt;'拟合与方案'!$C$13,"",SQRT('拟合与方案'!$F$13^2+('拟合与方案'!$G$13*(A451-'拟合与方案'!$H$13))^2))</x:f>
        <x:v>6006.231602772918</x:v>
      </x:c>
      <x:c r="F451" s="92" t="n">
        <x:f>C451</x:f>
        <x:v>4763.652149664268</x:v>
      </x:c>
      <x:c r="G451" s="92" t="n">
        <x:f>IF(E451="","",MAX(E451,F451)/MIN(E451,F451))</x:f>
        <x:v>1.2608459673522183</x:v>
      </x:c>
      <x:c r="H451" s="92" t="n">
        <x:f>IF(A451&lt;'拟合与方案'!$C$15,"",SQRT('拟合与方案'!$F$15^2+('拟合与方案'!$G$15*(A451-'拟合与方案'!$H$15))^2))</x:f>
        <x:v>7468.9412866177845</x:v>
      </x:c>
      <x:c r="I451" s="92" t="n">
        <x:f>C451</x:f>
        <x:v>4763.652149664268</x:v>
      </x:c>
      <x:c r="J451" s="92" t="n">
        <x:f>IF(H451="","",MAX(H451,I451)/MIN(H451,I451))</x:f>
        <x:v>1.5679023261898288</x:v>
      </x:c>
    </x:row>
    <x:row r="452" ht="15" hidden="0" customHeight="1">
      <x:c r="A452" s="92" t="n">
        <x:v>345</x:v>
      </x:c>
      <x:c r="B452" s="92" t="n">
        <x:f>SQRT('拟合与方案'!$B$7^2+('拟合与方案'!$C$7*(A452-'拟合与方案'!$D$7))^2)</x:f>
        <x:v>4435.129494275009</x:v>
      </x:c>
      <x:c r="C452" s="92" t="n">
        <x:f>SQRT('拟合与方案'!$B$8^2+('拟合与方案'!$C$8*(A452-'拟合与方案'!$D$8))^2)</x:f>
        <x:v>4785.213654555694</x:v>
      </x:c>
      <x:c r="D452" s="92" t="n">
        <x:f>MAX(B452,C452)/MIN(B452,C452)</x:f>
        <x:v>1.0789343717545528</x:v>
      </x:c>
      <x:c r="E452" s="92" t="n">
        <x:f>IF(A452&lt;'拟合与方案'!$C$13,"",SQRT('拟合与方案'!$F$13^2+('拟合与方案'!$G$13*(A452-'拟合与方案'!$H$13))^2))</x:f>
        <x:v>6033.422830519981</x:v>
      </x:c>
      <x:c r="F452" s="92" t="n">
        <x:f>C452</x:f>
        <x:v>4785.213654555694</x:v>
      </x:c>
      <x:c r="G452" s="92" t="n">
        <x:f>IF(E452="","",MAX(E452,F452)/MIN(E452,F452))</x:f>
        <x:v>1.26084711489861</x:v>
      </x:c>
      <x:c r="H452" s="92" t="n">
        <x:f>IF(A452&lt;'拟合与方案'!$C$15,"",SQRT('拟合与方案'!$F$15^2+('拟合与方案'!$G$15*(A452-'拟合与方案'!$H$15))^2))</x:f>
        <x:v>7503.01645893898</x:v>
      </x:c>
      <x:c r="I452" s="92" t="n">
        <x:f>C452</x:f>
        <x:v>4785.213654555694</x:v>
      </x:c>
      <x:c r="J452" s="92" t="n">
        <x:f>IF(H452="","",MAX(H452,I452)/MIN(H452,I452))</x:f>
        <x:v>1.5679585073063227</x:v>
      </x:c>
    </x:row>
    <x:row r="453" ht="15" hidden="0" customHeight="1">
      <x:c r="A453" s="92" t="n">
        <x:v>345.5</x:v>
      </x:c>
      <x:c r="B453" s="92" t="n">
        <x:f>SQRT('拟合与方案'!$B$7^2+('拟合与方案'!$C$7*(A453-'拟合与方案'!$D$7))^2)</x:f>
        <x:v>4454.465358658432</x:v>
      </x:c>
      <x:c r="C453" s="92" t="n">
        <x:f>SQRT('拟合与方案'!$B$8^2+('拟合与方案'!$C$8*(A453-'拟合与方案'!$D$8))^2)</x:f>
        <x:v>4806.776298065686</x:v>
      </x:c>
      <x:c r="D453" s="92" t="n">
        <x:f>MAX(B453,C453)/MIN(B453,C453)</x:f>
        <x:v>1.0790916330110065</x:v>
      </x:c>
      <x:c r="E453" s="92" t="n">
        <x:f>IF(A453&lt;'拟合与方案'!$C$13,"",SQRT('拟合与方案'!$F$13^2+('拟合与方案'!$G$13*(A453-'拟合与方案'!$H$13))^2))</x:f>
        <x:v>6060.615466922641</x:v>
      </x:c>
      <x:c r="F453" s="92" t="n">
        <x:f>C453</x:f>
        <x:v>4806.776298065686</x:v>
      </x:c>
      <x:c r="G453" s="92" t="n">
        <x:f>IF(E453="","",MAX(E453,F453)/MIN(E453,F453))</x:f>
        <x:v>1.2608482465392694</x:v>
      </x:c>
      <x:c r="H453" s="92" t="n">
        <x:f>IF(A453&lt;'拟合与方案'!$C$15,"",SQRT('拟合与方案'!$F$15^2+('拟合与方案'!$G$15*(A453-'拟合与方案'!$H$15))^2))</x:f>
        <x:v>7537.092363728022</x:v>
      </x:c>
      <x:c r="I453" s="92" t="n">
        <x:f>C453</x:f>
        <x:v>4806.776298065686</x:v>
      </x:c>
      <x:c r="J453" s="92" t="n">
        <x:f>IF(H453="","",MAX(H453,I453)/MIN(H453,I453))</x:f>
        <x:v>1.5680139653599134</x:v>
      </x:c>
    </x:row>
    <x:row r="454" ht="15" hidden="0" customHeight="1">
      <x:c r="A454" s="92" t="n">
        <x:v>346</x:v>
      </x:c>
      <x:c r="B454" s="92" t="n">
        <x:f>SQRT('拟合与方案'!$B$7^2+('拟合与方案'!$C$7*(A454-'拟合与方案'!$D$7))^2)</x:f>
        <x:v>4473.804723369178</x:v>
      </x:c>
      <x:c r="C454" s="92" t="n">
        <x:f>SQRT('拟合与方案'!$B$8^2+('拟合与方案'!$C$8*(A454-'拟合与方案'!$D$8))^2)</x:f>
        <x:v>4828.340064939543</x:v>
      </x:c>
      <x:c r="D454" s="92" t="n">
        <x:f>MAX(B454,C454)/MIN(B454,C454)</x:f>
        <x:v>1.0792469415838446</x:v>
      </x:c>
      <x:c r="E454" s="92" t="n">
        <x:f>IF(A454&lt;'拟合与方案'!$C$13,"",SQRT('拟合与方案'!$F$13^2+('拟合与方案'!$G$13*(A454-'拟合与方案'!$H$13))^2))</x:f>
        <x:v>6087.809493104622</x:v>
      </x:c>
      <x:c r="F454" s="92" t="n">
        <x:f>C454</x:f>
        <x:v>4828.340064939543</x:v>
      </x:c>
      <x:c r="G454" s="92" t="n">
        <x:f>IF(E454="","",MAX(E454,F454)/MIN(E454,F454))</x:f>
        <x:v>1.2608493625605572</x:v>
      </x:c>
      <x:c r="H454" s="92" t="n">
        <x:f>IF(A454&lt;'拟合与方案'!$C$15,"",SQRT('拟合与方案'!$F$15^2+('拟合与方案'!$G$15*(A454-'拟合与方案'!$H$15))^2))</x:f>
        <x:v>7571.16899109496</x:v>
      </x:c>
      <x:c r="I454" s="92" t="n">
        <x:f>C454</x:f>
        <x:v>4828.340064939543</x:v>
      </x:c>
      <x:c r="J454" s="92" t="n">
        <x:f>IF(H454="","",MAX(H454,I454)/MIN(H454,I454))</x:f>
        <x:v>1.5680687129044961</x:v>
      </x:c>
    </x:row>
    <x:row r="455" ht="15" hidden="0" customHeight="1">
      <x:c r="A455" s="92" t="n">
        <x:v>346.5</x:v>
      </x:c>
      <x:c r="B455" s="92" t="n">
        <x:f>SQRT('拟合与方案'!$B$7^2+('拟合与方案'!$C$7*(A455-'拟合与方案'!$D$7))^2)</x:f>
        <x:v>4493.147543209015</x:v>
      </x:c>
      <x:c r="C455" s="92" t="n">
        <x:f>SQRT('拟合与方案'!$B$8^2+('拟合与方案'!$C$8*(A455-'拟合与方案'!$D$8))^2)</x:f>
        <x:v>4849.9049401930815</x:v>
      </x:c>
      <x:c r="D455" s="92" t="n">
        <x:f>MAX(B455,C455)/MIN(B455,C455)</x:f>
        <x:v>1.0794003298474526</x:v>
      </x:c>
      <x:c r="E455" s="92" t="n">
        <x:f>IF(A455&lt;'拟合与方案'!$C$13,"",SQRT('拟合与方案'!$F$13^2+('拟合与方案'!$G$13*(A455-'拟合与方案'!$H$13))^2))</x:f>
        <x:v>6115.004890524468</x:v>
      </x:c>
      <x:c r="F455" s="92" t="n">
        <x:f>C455</x:f>
        <x:v>4849.9049401930815</x:v>
      </x:c>
      <x:c r="G455" s="92" t="n">
        <x:f>IF(E455="","",MAX(E455,F455)/MIN(E455,F455))</x:f>
        <x:v>1.260850463242486</x:v>
      </x:c>
      <x:c r="H455" s="92" t="n">
        <x:f>IF(A455&lt;'拟合与方案'!$C$15,"",SQRT('拟合与方案'!$F$15^2+('拟合与方案'!$G$15*(A455-'拟合与方案'!$H$15))^2))</x:f>
        <x:v>7605.246331326883</x:v>
      </x:c>
      <x:c r="I455" s="92" t="n">
        <x:f>C455</x:f>
        <x:v>4849.9049401930815</x:v>
      </x:c>
      <x:c r="J455" s="92" t="n">
        <x:f>IF(H455="","",MAX(H455,I455)/MIN(H455,I455))</x:f>
        <x:v>1.5681227622214193</x:v>
      </x:c>
    </x:row>
    <x:row r="456" ht="15" hidden="0" customHeight="1">
      <x:c r="A456" s="92" t="n">
        <x:v>347</x:v>
      </x:c>
      <x:c r="B456" s="92" t="n">
        <x:f>SQRT('拟合与方案'!$B$7^2+('拟合与方案'!$C$7*(A456-'拟合与方案'!$D$7))^2)</x:f>
        <x:v>4512.493773746676</x:v>
      </x:c>
      <x:c r="C456" s="92" t="n">
        <x:f>SQRT('拟合与方案'!$B$8^2+('拟合与方案'!$C$8*(A456-'拟合与方案'!$D$8))^2)</x:f>
        <x:v>4871.470909106679</x:v>
      </x:c>
      <x:c r="D456" s="92" t="n">
        <x:f>MAX(B456,C456)/MIN(B456,C456)</x:f>
        <x:v>1.0795518295113231</x:v>
      </x:c>
      <x:c r="E456" s="92" t="n">
        <x:f>IF(A456&lt;'拟合与方案'!$C$13,"",SQRT('拟合与方案'!$F$13^2+('拟合与方案'!$G$13*(A456-'拟合与方案'!$H$13))^2))</x:f>
        <x:v>6142.201640968177</x:v>
      </x:c>
      <x:c r="F456" s="92" t="n">
        <x:f>C456</x:f>
        <x:v>4871.470909106679</x:v>
      </x:c>
      <x:c r="G456" s="92" t="n">
        <x:f>IF(E456="","",MAX(E456,F456)/MIN(E456,F456))</x:f>
        <x:v>1.2608515488588892</x:v>
      </x:c>
      <x:c r="H456" s="92" t="n">
        <x:f>IF(A456&lt;'拟合与方案'!$C$15,"",SQRT('拟合与方案'!$F$15^2+('拟合与方案'!$G$15*(A456-'拟合与方案'!$H$15))^2))</x:f>
        <x:v>7639.324374883992</x:v>
      </x:c>
      <x:c r="I456" s="92" t="n">
        <x:f>C456</x:f>
        <x:v>4871.470909106679</x:v>
      </x:c>
      <x:c r="J456" s="92" t="n">
        <x:f>IF(H456="","",MAX(H456,I456)/MIN(H456,I456))</x:f>
        <x:v>1.5681761253265654</x:v>
      </x:c>
    </x:row>
    <x:row r="457" ht="15" hidden="0" customHeight="1">
      <x:c r="A457" s="92" t="n">
        <x:v>347.5</x:v>
      </x:c>
      <x:c r="B457" s="92" t="n">
        <x:f>SQRT('拟合与方案'!$B$7^2+('拟合与方案'!$C$7*(A457-'拟合与方案'!$D$7))^2)</x:f>
        <x:v>4531.843371301827</x:v>
      </x:c>
      <x:c r="C457" s="92" t="n">
        <x:f>SQRT('拟合与方案'!$B$8^2+('拟合与方案'!$C$8*(A457-'拟合与方案'!$D$8))^2)</x:f>
        <x:v>4893.03795721948</x:v>
      </x:c>
      <x:c r="D457" s="92" t="n">
        <x:f>MAX(B457,C457)/MIN(B457,C457)</x:f>
        <x:v>1.0797014716362308</x:v>
      </x:c>
      <x:c r="E457" s="92" t="n">
        <x:f>IF(A457&lt;'拟合与方案'!$C$13,"",SQRT('拟合与方案'!$F$13^2+('拟合与方案'!$G$13*(A457-'拟合与方案'!$H$13))^2))</x:f>
        <x:v>6169.399726542023</x:v>
      </x:c>
      <x:c r="F457" s="92" t="n">
        <x:f>C457</x:f>
        <x:v>4893.03795721948</x:v>
      </x:c>
      <x:c r="G457" s="92" t="n">
        <x:f>IF(E457="","",MAX(E457,F457)/MIN(E457,F457))</x:f>
        <x:v>1.2608526196775816</x:v>
      </x:c>
      <x:c r="H457" s="92" t="n">
        <x:f>IF(A457&lt;'拟合与方案'!$C$15,"",SQRT('拟合与方案'!$F$15^2+('拟合与方案'!$G$15*(A457-'拟合与方案'!$H$15))^2))</x:f>
        <x:v>7673.403112395761</x:v>
      </x:c>
      <x:c r="I457" s="92" t="n">
        <x:f>C457</x:f>
        <x:v>4893.03795721948</x:v>
      </x:c>
      <x:c r="J457" s="92" t="n">
        <x:f>IF(H457="","",MAX(H457,I457)/MIN(H457,I457))</x:f>
        <x:v>1.5682288139772071</x:v>
      </x:c>
    </x:row>
    <x:row r="458" ht="15" hidden="0" customHeight="1">
      <x:c r="A458" s="92" t="n">
        <x:v>348</x:v>
      </x:c>
      <x:c r="B458" s="92" t="n">
        <x:f>SQRT('拟合与方案'!$B$7^2+('拟合与方案'!$C$7*(A458-'拟合与方案'!$D$7))^2)</x:f>
        <x:v>4551.196292929428</x:v>
      </x:c>
      <x:c r="C458" s="92" t="n">
        <x:f>SQRT('拟合与方案'!$B$8^2+('拟合与方案'!$C$8*(A458-'拟合与方案'!$D$8))^2)</x:f>
        <x:v>4914.60607032375</x:v>
      </x:c>
      <x:c r="D458" s="92" t="n">
        <x:f>MAX(B458,C458)/MIN(B458,C458)</x:f>
        <x:v>1.0798492866499523</x:v>
      </x:c>
      <x:c r="E458" s="92" t="n">
        <x:f>IF(A458&lt;'拟合与方案'!$C$13,"",SQRT('拟合与方案'!$F$13^2+('拟合与方案'!$G$13*(A458-'拟合与方案'!$H$13))^2))</x:f>
        <x:v>6196.599129665564</x:v>
      </x:c>
      <x:c r="F458" s="92" t="n">
        <x:f>C458</x:f>
        <x:v>4914.60607032375</x:v>
      </x:c>
      <x:c r="G458" s="92" t="n">
        <x:f>IF(E458="","",MAX(E458,F458)/MIN(E458,F458))</x:f>
        <x:v>1.2608536759605156</x:v>
      </x:c>
      <x:c r="H458" s="92" t="n">
        <x:f>IF(A458&lt;'拟合与方案'!$C$15,"",SQRT('拟合与方案'!$F$15^2+('拟合与方案'!$G$15*(A458-'拟合与方案'!$H$15))^2))</x:f>
        <x:v>7707.482534657199</x:v>
      </x:c>
      <x:c r="I458" s="92" t="n">
        <x:f>C458</x:f>
        <x:v>4914.60607032375</x:v>
      </x:c>
      <x:c r="J458" s="92" t="n">
        <x:f>IF(H458="","",MAX(H458,I458)/MIN(H458,I458))</x:f>
        <x:v>1.5682808396786658</x:v>
      </x:c>
    </x:row>
    <x:row r="459" ht="15" hidden="0" customHeight="1">
      <x:c r="A459" s="92" t="n">
        <x:v>348.5</x:v>
      </x:c>
      <x:c r="B459" s="92" t="n">
        <x:f>SQRT('拟合与方案'!$B$7^2+('拟合与方案'!$C$7*(A459-'拟合与方案'!$D$7))^2)</x:f>
        <x:v>4570.552496404488</x:v>
      </x:c>
      <x:c r="C459" s="92" t="n">
        <x:f>SQRT('拟合与方案'!$B$8^2+('拟合与方案'!$C$8*(A459-'拟合与方案'!$D$8))^2)</x:f>
        <x:v>4936.175234459373</x:v>
      </x:c>
      <x:c r="D459" s="92" t="n">
        <x:f>MAX(B459,C459)/MIN(B459,C459)</x:f>
        <x:v>1.079995304362549</x:v>
      </x:c>
      <x:c r="E459" s="92" t="n">
        <x:f>IF(A459&lt;'拟合与方案'!$C$13,"",SQRT('拟合与方案'!$F$13^2+('拟合与方案'!$G$13*(A459-'拟合与方案'!$H$13))^2))</x:f>
        <x:v>6223.799833064833</x:v>
      </x:c>
      <x:c r="F459" s="92" t="n">
        <x:f>C459</x:f>
        <x:v>4936.175234459373</x:v>
      </x:c>
      <x:c r="G459" s="92" t="n">
        <x:f>IF(E459="","",MAX(E459,F459)/MIN(E459,F459))</x:f>
        <x:v>1.260854717963935</x:v>
      </x:c>
      <x:c r="H459" s="92" t="n">
        <x:f>IF(A459&lt;'拟合与方案'!$C$15,"",SQRT('拟合与方案'!$F$15^2+('拟合与方案'!$G$15*(A459-'拟合与方案'!$H$15))^2))</x:f>
        <x:v>7741.56263262522</x:v>
      </x:c>
      <x:c r="I459" s="92" t="n">
        <x:f>C459</x:f>
        <x:v>4936.175234459373</x:v>
      </x:c>
      <x:c r="J459" s="92" t="n">
        <x:f>IF(H459="","",MAX(H459,I459)/MIN(H459,I459))</x:f>
        <x:v>1.5683322136907691</x:v>
      </x:c>
    </x:row>
    <x:row r="460" ht="15" hidden="0" customHeight="1">
      <x:c r="A460" s="92" t="n">
        <x:v>349</x:v>
      </x:c>
      <x:c r="B460" s="92" t="n">
        <x:f>SQRT('拟合与方案'!$B$7^2+('拟合与方案'!$C$7*(A460-'拟合与方案'!$D$7))^2)</x:f>
        <x:v>4589.9119402071865</x:v>
      </x:c>
      <x:c r="C460" s="92" t="n">
        <x:f>SQRT('拟合与方案'!$B$8^2+('拟合与方案'!$C$8*(A460-'拟合与方案'!$D$8))^2)</x:f>
        <x:v>4957.745435908501</x:v>
      </x:c>
      <x:c r="D460" s="92" t="n">
        <x:f>MAX(B460,C460)/MIN(B460,C460)</x:f>
        <x:v>1.0801395539812275</x:v>
      </x:c>
      <x:c r="E460" s="92" t="n">
        <x:f>IF(A460&lt;'拟合与方案'!$C$13,"",SQRT('拟合与方案'!$F$13^2+('拟合与方案'!$G$13*(A460-'拟合与方案'!$H$13))^2))</x:f>
        <x:v>6251.001819765715</x:v>
      </x:c>
      <x:c r="F460" s="92" t="n">
        <x:f>C460</x:f>
        <x:v>4957.745435908501</x:v>
      </x:c>
      <x:c r="G460" s="92" t="n">
        <x:f>IF(E460="","",MAX(E460,F460)/MIN(E460,F460))</x:f>
        <x:v>1.2608557459385217</x:v>
      </x:c>
      <x:c r="H460" s="92" t="n">
        <x:f>IF(A460&lt;'拟合与方案'!$C$15,"",SQRT('拟合与方案'!$F$15^2+('拟合与方案'!$G$15*(A460-'拟合与方案'!$H$15))^2))</x:f>
        <x:v>7775.6433974151</x:v>
      </x:c>
      <x:c r="I460" s="92" t="n">
        <x:f>C460</x:f>
        <x:v>4957.745435908501</x:v>
      </x:c>
      <x:c r="J460" s="92" t="n">
        <x:f>IF(H460="","",MAX(H460,I460)/MIN(H460,I460))</x:f>
        <x:v>1.5683829470341133</x:v>
      </x:c>
    </x:row>
    <x:row r="461" ht="15" hidden="0" customHeight="1">
      <x:c r="A461" s="92" t="n">
        <x:v>349.5</x:v>
      </x:c>
      <x:c r="B461" s="92" t="n">
        <x:f>SQRT('拟合与方案'!$B$7^2+('拟合与方案'!$C$7*(A461-'拟合与方案'!$D$7))^2)</x:f>
        <x:v>4609.2745835083615</x:v>
      </x:c>
      <x:c r="C461" s="92" t="n">
        <x:f>SQRT('拟合与方案'!$B$8^2+('拟合与方案'!$C$8*(A461-'拟合与方案'!$D$8))^2)</x:f>
        <x:v>4979.3166611903325</x:v>
      </x:c>
      <x:c r="D461" s="92" t="n">
        <x:f>MAX(B461,C461)/MIN(B461,C461)</x:f>
        <x:v>1.0802820641247874</x:v>
      </x:c>
      <x:c r="E461" s="92" t="n">
        <x:f>IF(A461&lt;'拟合与方案'!$C$13,"",SQRT('拟合与方案'!$F$13^2+('拟合与方案'!$G$13*(A461-'拟合与方案'!$H$13))^2))</x:f>
        <x:v>6278.205073087477</x:v>
      </x:c>
      <x:c r="F461" s="92" t="n">
        <x:f>C461</x:f>
        <x:v>4979.3166611903325</x:v>
      </x:c>
      <x:c r="G461" s="92" t="n">
        <x:f>IF(E461="","",MAX(E461,F461)/MIN(E461,F461))</x:f>
        <x:v>1.2608567601295393</x:v>
      </x:c>
      <x:c r="H461" s="92" t="n">
        <x:f>IF(A461&lt;'拟合与方案'!$C$15,"",SQRT('拟合与方案'!$F$15^2+('拟合与方案'!$G$15*(A461-'拟合与方案'!$H$15))^2))</x:f>
        <x:v>7809.724820297031</x:v>
      </x:c>
      <x:c r="I461" s="92" t="n">
        <x:f>C461</x:f>
        <x:v>4979.3166611903325</x:v>
      </x:c>
      <x:c r="J461" s="92" t="n">
        <x:f>IF(H461="","",MAX(H461,I461)/MIN(H461,I461))</x:f>
        <x:v>1.5684330504961448</x:v>
      </x:c>
    </x:row>
    <x:row r="462" ht="15" hidden="0" customHeight="1">
      <x:c r="A462" s="92" t="n">
        <x:v>350</x:v>
      </x:c>
      <x:c r="B462" s="92" t="n">
        <x:f>SQRT('拟合与方案'!$B$7^2+('拟合与方案'!$C$7*(A462-'拟合与方案'!$D$7))^2)</x:f>
        <x:v>4628.640386155347</x:v>
      </x:c>
      <x:c r="C462" s="92" t="n">
        <x:f>SQRT('拟合与方案'!$B$8^2+('拟合与方案'!$C$8*(A462-'拟合与方案'!$D$8))^2)</x:f>
        <x:v>5000.888897056027</x:v>
      </x:c>
      <x:c r="D462" s="92" t="n">
        <x:f>MAX(B462,C462)/MIN(B462,C462)</x:f>
        <x:v>1.080422862837672</x:v>
      </x:c>
      <x:c r="E462" s="92" t="n">
        <x:f>IF(A462&lt;'拟合与方案'!$C$13,"",SQRT('拟合与方案'!$F$13^2+('拟合与方案'!$G$13*(A462-'拟合与方案'!$H$13))^2))</x:f>
        <x:v>6305.409576636474</x:v>
      </x:c>
      <x:c r="F462" s="92" t="n">
        <x:f>C462</x:f>
        <x:v>5000.888897056027</x:v>
      </x:c>
      <x:c r="G462" s="92" t="n">
        <x:f>IF(E462="","",MAX(E462,F462)/MIN(E462,F462))</x:f>
        <x:v>1.26085776077697</x:v>
      </x:c>
      <x:c r="H462" s="92" t="n">
        <x:f>IF(A462&lt;'拟合与方案'!$C$15,"",SQRT('拟合与方案'!$F$15^2+('拟合与方案'!$G$15*(A462-'拟合与方案'!$H$15))^2))</x:f>
        <x:v>7843.806892692764</x:v>
      </x:c>
      <x:c r="I462" s="92" t="n">
        <x:f>C462</x:f>
        <x:v>5000.888897056027</x:v>
      </x:c>
      <x:c r="J462" s="92" t="n">
        <x:f>IF(H462="","",MAX(H462,I462)/MIN(H462,I462))</x:f>
        <x:v>1.568482534637059</x:v>
      </x:c>
    </x:row>
    <x:row r="463" ht="15" hidden="0" customHeight="1">
      <x:c r="A463" s="92" t="n">
        <x:v>350.5</x:v>
      </x:c>
      <x:c r="B463" s="92" t="n">
        <x:f>SQRT('拟合与方案'!$B$7^2+('拟合与方案'!$C$7*(A463-'拟合与方案'!$D$7))^2)</x:f>
        <x:v>4648.009308658165</x:v>
      </x:c>
      <x:c r="C463" s="92" t="n">
        <x:f>SQRT('拟合与方案'!$B$8^2+('拟合与方案'!$C$8*(A463-'拟合与方案'!$D$8))^2)</x:f>
        <x:v>5022.462130483752</x:v>
      </x:c>
      <x:c r="D463" s="92" t="n">
        <x:f>MAX(B463,C463)/MIN(B463,C463)</x:f>
        <x:v>1.080561977603631</x:v>
      </x:c>
      <x:c r="E463" s="92" t="n">
        <x:f>IF(A463&lt;'拟合与方案'!$C$13,"",SQRT('拟合与方案'!$F$13^2+('拟合与方案'!$G$13*(A463-'拟合与方案'!$H$13))^2))</x:f>
        <x:v>6332.615314300026</x:v>
      </x:c>
      <x:c r="F463" s="92" t="n">
        <x:f>C463</x:f>
        <x:v>5022.462130483752</x:v>
      </x:c>
      <x:c r="G463" s="92" t="n">
        <x:f>IF(E463="","",MAX(E463,F463)/MIN(E463,F463))</x:f>
        <x:v>1.2608587481156543</x:v>
      </x:c>
      <x:c r="H463" s="92" t="n">
        <x:f>IF(A463&lt;'拟合与方案'!$C$15,"",SQRT('拟合与方案'!$F$15^2+('拟合与方案'!$G$15*(A463-'拟合与方案'!$H$15))^2))</x:f>
        <x:v>7877.8896061723335</x:v>
      </x:c>
      <x:c r="I463" s="92" t="n">
        <x:f>C463</x:f>
        <x:v>5022.462130483752</x:v>
      </x:c>
      <x:c r="J463" s="92" t="n">
        <x:f>IF(H463="","",MAX(H463,I463)/MIN(H463,I463))</x:f>
        <x:v>1.5685314097955285</x:v>
      </x:c>
    </x:row>
    <x:row r="464" ht="15" hidden="0" customHeight="1">
      <x:c r="A464" s="92" t="n">
        <x:v>351</x:v>
      </x:c>
      <x:c r="B464" s="92" t="n">
        <x:f>SQRT('拟合与方案'!$B$7^2+('拟合与方案'!$C$7*(A464-'拟合与方案'!$D$7))^2)</x:f>
        <x:v>4667.38131217603</x:v>
      </x:c>
      <x:c r="C464" s="92" t="n">
        <x:f>SQRT('拟合与方案'!$B$8^2+('拟合与方案'!$C$8*(A464-'拟合与方案'!$D$8))^2)</x:f>
        <x:v>5044.036348673852</x:v>
      </x:c>
      <x:c r="D464" s="92" t="n">
        <x:f>MAX(B464,C464)/MIN(B464,C464)</x:f>
        <x:v>1.0806994353590145</x:v>
      </x:c>
      <x:c r="E464" s="92" t="n">
        <x:f>IF(A464&lt;'拟合与方案'!$C$13,"",SQRT('拟合与方案'!$F$13^2+('拟合与方案'!$G$13*(A464-'拟合与方案'!$H$13))^2))</x:f>
        <x:v>6359.8222702404255</x:v>
      </x:c>
      <x:c r="F464" s="92" t="n">
        <x:f>C464</x:f>
        <x:v>5044.036348673852</x:v>
      </x:c>
      <x:c r="G464" s="92" t="n">
        <x:f>IF(E464="","",MAX(E464,F464)/MIN(E464,F464))</x:f>
        <x:v>1.260859722375417</x:v>
      </x:c>
      <x:c r="H464" s="92" t="n">
        <x:f>IF(A464&lt;'拟合与方案'!$C$15,"",SQRT('拟合与方案'!$F$15^2+('拟合与方案'!$G$15*(A464-'拟合与方案'!$H$15))^2))</x:f>
        <x:v>7911.972952450875</x:v>
      </x:c>
      <x:c r="I464" s="92" t="n">
        <x:f>C464</x:f>
        <x:v>5044.036348673852</x:v>
      </x:c>
      <x:c r="J464" s="92" t="n">
        <x:f>IF(H464="","",MAX(H464,I464)/MIN(H464,I464))</x:f>
        <x:v>1.5685796860942611</x:v>
      </x:c>
    </x:row>
    <x:row r="465" ht="15" hidden="0" customHeight="1">
      <x:c r="A465" s="92" t="n">
        <x:v>351.5</x:v>
      </x:c>
      <x:c r="B465" s="92" t="n">
        <x:f>SQRT('拟合与方案'!$B$7^2+('拟合与方案'!$C$7*(A465-'拟合与方案'!$D$7))^2)</x:f>
        <x:v>4686.756358504207</x:v>
      </x:c>
      <x:c r="C465" s="92" t="n">
        <x:f>SQRT('拟合与方案'!$B$8^2+('拟合与方案'!$C$8*(A465-'拟合与方案'!$D$8))^2)</x:f>
        <x:v>5065.611539044151</x:v>
      </x:c>
      <x:c r="D465" s="92" t="n">
        <x:f>MAX(B465,C465)/MIN(B465,C465)</x:f>
        <x:v>1.0808352625056994</x:v>
      </x:c>
      <x:c r="E465" s="92" t="n">
        <x:f>IF(A465&lt;'拟合与方案'!$C$13,"",SQRT('拟合与方案'!$F$13^2+('拟合与方案'!$G$13*(A465-'拟合与方案'!$H$13))^2))</x:f>
        <x:v>6387.030428889119</x:v>
      </x:c>
      <x:c r="F465" s="92" t="n">
        <x:f>C465</x:f>
        <x:v>5065.611539044151</x:v>
      </x:c>
      <x:c r="G465" s="92" t="n">
        <x:f>IF(E465="","",MAX(E465,F465)/MIN(E465,F465))</x:f>
        <x:v>1.2608606837811949</x:v>
      </x:c>
      <x:c r="H465" s="92" t="n">
        <x:f>IF(A465&lt;'拟合与方案'!$C$15,"",SQRT('拟合与方案'!$F$15^2+('拟合与方案'!$G$15*(A465-'拟合与方案'!$H$15))^2))</x:f>
        <x:v>7946.056923385516</x:v>
      </x:c>
      <x:c r="I465" s="92" t="n">
        <x:f>C465</x:f>
        <x:v>5065.611539044151</x:v>
      </x:c>
      <x:c r="J465" s="92" t="n">
        <x:f>IF(H465="","",MAX(H465,I465)/MIN(H465,I465))</x:f>
        <x:v>1.568627373445396</x:v>
      </x:c>
    </x:row>
    <x:row r="466" ht="15" hidden="0" customHeight="1">
      <x:c r="A466" s="92" t="n">
        <x:v>352</x:v>
      </x:c>
      <x:c r="B466" s="92" t="n">
        <x:f>SQRT('拟合与方案'!$B$7^2+('拟合与方案'!$C$7*(A466-'拟合与方案'!$D$7))^2)</x:f>
        <x:v>4706.134410061155</x:v>
      </x:c>
      <x:c r="C466" s="92" t="n">
        <x:f>SQRT('拟合与方案'!$B$8^2+('拟合与方案'!$C$8*(A466-'拟合与方案'!$D$8))^2)</x:f>
        <x:v>5087.187689225354</x:v>
      </x:c>
      <x:c r="D466" s="92" t="n">
        <x:f>MAX(B466,C466)/MIN(B466,C466)</x:f>
        <x:v>1.0809694849236673</x:v>
      </x:c>
      <x:c r="E466" s="92" t="n">
        <x:f>IF(A466&lt;'拟合与方案'!$C$13,"",SQRT('拟合与方案'!$F$13^2+('拟合与方案'!$G$13*(A466-'拟合与方案'!$H$13))^2))</x:f>
        <x:v>6414.239774941033</x:v>
      </x:c>
      <x:c r="F466" s="92" t="n">
        <x:f>C466</x:f>
        <x:v>5087.187689225354</x:v>
      </x:c>
      <x:c r="G466" s="92" t="n">
        <x:f>IF(E466="","",MAX(E466,F466)/MIN(E466,F466))</x:f>
        <x:v>1.260861632553163</x:v>
      </x:c>
      <x:c r="H466" s="92" t="n">
        <x:f>IF(A466&lt;'拟合与方案'!$C$15,"",SQRT('拟合与方案'!$F$15^2+('拟合与方案'!$G$15*(A466-'拟合与方案'!$H$15))^2))</x:f>
        <x:v>7980.141510972354</x:v>
      </x:c>
      <x:c r="I466" s="92" t="n">
        <x:f>C466</x:f>
        <x:v>5087.187689225354</x:v>
      </x:c>
      <x:c r="J466" s="92" t="n">
        <x:f>IF(H466="","",MAX(H466,I466)/MIN(H466,I466))</x:f>
        <x:v>1.5686744815557456</x:v>
      </x:c>
    </x:row>
    <x:row r="467" ht="15" hidden="0" customHeight="1">
      <x:c r="A467" s="92" t="n">
        <x:v>352.5</x:v>
      </x:c>
      <x:c r="B467" s="92" t="n">
        <x:f>SQRT('拟合与方案'!$B$7^2+('拟合与方案'!$C$7*(A467-'拟合与方案'!$D$7))^2)</x:f>
        <x:v>4725.515429876002</x:v>
      </x:c>
      <x:c r="C467" s="92" t="n">
        <x:f>SQRT('拟合与方案'!$B$8^2+('拟合与方案'!$C$8*(A467-'拟合与方案'!$D$8))^2)</x:f>
        <x:v>5108.76478705658</x:v>
      </x:c>
      <x:c r="D467" s="92" t="n">
        <x:f>MAX(B467,C467)/MIN(B467,C467)</x:f>
        <x:v>1.0811021279832398</x:v>
      </x:c>
      <x:c r="E467" s="92" t="n">
        <x:f>IF(A467&lt;'拟合与方案'!$C$13,"",SQRT('拟合与方案'!$F$13^2+('拟合与方案'!$G$13*(A467-'拟合与方案'!$H$13))^2))</x:f>
        <x:v>6441.450293349027</x:v>
      </x:c>
      <x:c r="F467" s="92" t="n">
        <x:f>C467</x:f>
        <x:v>5108.76478705658</x:v>
      </x:c>
      <x:c r="G467" s="92" t="n">
        <x:f>IF(E467="","",MAX(E467,F467)/MIN(E467,F467))</x:f>
        <x:v>1.2608625689068522</x:v>
      </x:c>
      <x:c r="H467" s="92" t="n">
        <x:f>IF(A467&lt;'拟合与方案'!$C$15,"",SQRT('拟合与方案'!$F$15^2+('拟合与方案'!$G$15*(A467-'拟合与方案'!$H$15))^2))</x:f>
        <x:v>8014.226707343503</x:v>
      </x:c>
      <x:c r="I467" s="92" t="n">
        <x:f>C467</x:f>
        <x:v>5108.76478705658</x:v>
      </x:c>
      <x:c r="J467" s="92" t="n">
        <x:f>IF(H467="","",MAX(H467,I467)/MIN(H467,I467))</x:f>
        <x:v>1.5687210199318862</x:v>
      </x:c>
    </x:row>
    <x:row r="468" ht="15" hidden="0" customHeight="1">
      <x:c r="A468" s="92" t="n">
        <x:v>353</x:v>
      </x:c>
      <x:c r="B468" s="92" t="n">
        <x:f>SQRT('拟合与方案'!$B$7^2+('拟合与方案'!$C$7*(A468-'拟合与方案'!$D$7))^2)</x:f>
        <x:v>4744.8993815763015</x:v>
      </x:c>
      <x:c r="C468" s="92" t="n">
        <x:f>SQRT('拟合与方案'!$B$8^2+('拟合与方案'!$C$8*(A468-'拟合与方案'!$D$8))^2)</x:f>
        <x:v>5130.342820581005</x:v>
      </x:c>
      <x:c r="D468" s="92" t="n">
        <x:f>MAX(B468,C468)/MIN(B468,C468)</x:f>
        <x:v>1.0812332165569876</x:v>
      </x:c>
      <x:c r="E468" s="92" t="n">
        <x:f>IF(A468&lt;'拟合与方案'!$C$13,"",SQRT('拟合与方案'!$F$13^2+('拟合与方案'!$G$13*(A468-'拟合与方案'!$H$13))^2))</x:f>
        <x:v>6468.661969318503</x:v>
      </x:c>
      <x:c r="F468" s="92" t="n">
        <x:f>C468</x:f>
        <x:v>5130.342820581005</x:v>
      </x:c>
      <x:c r="G468" s="92" t="n">
        <x:f>IF(E468="","",MAX(E468,F468)/MIN(E468,F468))</x:f>
        <x:v>1.2608634930532645</x:v>
      </x:c>
      <x:c r="H468" s="92" t="n">
        <x:f>IF(A468&lt;'拟合与方案'!$C$15,"",SQRT('拟合与方案'!$F$15^2+('拟合与方案'!$G$15*(A468-'拟合与方案'!$H$15))^2))</x:f>
        <x:v>8048.312504764228</x:v>
      </x:c>
      <x:c r="I468" s="92" t="n">
        <x:f>C468</x:f>
        <x:v>5130.342820581005</x:v>
      </x:c>
      <x:c r="J468" s="92" t="n">
        <x:f>IF(H468="","",MAX(H468,I468)/MIN(H468,I468))</x:f>
        <x:v>1.5687669978850978</x:v>
      </x:c>
    </x:row>
    <x:row r="469" ht="15" hidden="0" customHeight="1">
      <x:c r="A469" s="92" t="n">
        <x:v>353.5</x:v>
      </x:c>
      <x:c r="B469" s="92" t="n">
        <x:f>SQRT('拟合与方案'!$B$7^2+('拟合与方案'!$C$7*(A469-'拟合与方案'!$D$7))^2)</x:f>
        <x:v>4764.286229376089</x:v>
      </x:c>
      <x:c r="C469" s="92" t="n">
        <x:f>SQRT('拟合与方案'!$B$8^2+('拟合与方案'!$C$8*(A469-'拟合与方案'!$D$8))^2)</x:f>
        <x:v>5151.921778041608</x:v>
      </x:c>
      <x:c r="D469" s="92" t="n">
        <x:f>MAX(B469,C469)/MIN(B469,C469)</x:f>
        <x:v>1.081362775031315</x:v>
      </x:c>
      <x:c r="E469" s="92" t="n">
        <x:f>IF(A469&lt;'拟合与方案'!$C$13,"",SQRT('拟合与方案'!$F$13^2+('拟合与方案'!$G$13*(A469-'拟合与方案'!$H$13))^2))</x:f>
        <x:v>6495.874788302143</x:v>
      </x:c>
      <x:c r="F469" s="92" t="n">
        <x:f>C469</x:f>
        <x:v>5151.921778041608</x:v>
      </x:c>
      <x:c r="G469" s="92" t="n">
        <x:f>IF(E469="","",MAX(E469,F469)/MIN(E469,F469))</x:f>
        <x:v>1.2608644051989877</x:v>
      </x:c>
      <x:c r="H469" s="92" t="n">
        <x:f>IF(A469&lt;'拟合与方案'!$C$15,"",SQRT('拟合与方案'!$F$15^2+('拟合与方案'!$G$15*(A469-'拟合与方案'!$H$15))^2))</x:f>
        <x:v>8082.398895630128</x:v>
      </x:c>
      <x:c r="I469" s="92" t="n">
        <x:f>C469</x:f>
        <x:v>5151.921778041608</x:v>
      </x:c>
      <x:c r="J469" s="92" t="n">
        <x:f>IF(H469="","",MAX(H469,I469)/MIN(H469,I469))</x:f>
        <x:v>1.5688124245361654</x:v>
      </x:c>
    </x:row>
    <x:row r="470" ht="15" hidden="0" customHeight="1">
      <x:c r="A470" s="92" t="n">
        <x:v>354</x:v>
      </x:c>
      <x:c r="B470" s="92" t="n">
        <x:f>SQRT('拟合与方案'!$B$7^2+('拟合与方案'!$C$7*(A470-'拟合与方案'!$D$7))^2)</x:f>
        <x:v>4783.675938064217</x:v>
      </x:c>
      <x:c r="C470" s="92" t="n">
        <x:f>SQRT('拟合与方案'!$B$8^2+('拟合与方案'!$C$8*(A470-'拟合与方案'!$D$8))^2)</x:f>
        <x:v>5173.501647877024</x:v>
      </x:c>
      <x:c r="D470" s="92" t="n">
        <x:f>MAX(B470,C470)/MIN(B470,C470)</x:f>
        <x:v>1.0814908273177375</x:v>
      </x:c>
      <x:c r="E470" s="92" t="n">
        <x:f>IF(A470&lt;'拟合与方案'!$C$13,"",SQRT('拟合与方案'!$F$13^2+('拟合与方案'!$G$13*(A470-'拟合与方案'!$H$13))^2))</x:f>
        <x:v>6523.088735994774</x:v>
      </x:c>
      <x:c r="F470" s="92" t="n">
        <x:f>C470</x:f>
        <x:v>5173.501647877024</x:v>
      </x:c>
      <x:c r="G470" s="92" t="n">
        <x:f>IF(E470="","",MAX(E470,F470)/MIN(E470,F470))</x:f>
        <x:v>1.2608653055463046</x:v>
      </x:c>
      <x:c r="H470" s="92" t="n">
        <x:f>IF(A470&lt;'拟合与方案'!$C$15,"",SQRT('拟合与方案'!$F$15^2+('拟合与方案'!$G$15*(A470-'拟合与方案'!$H$15))^2))</x:f>
        <x:v>8116.485872464422</x:v>
      </x:c>
      <x:c r="I470" s="92" t="n">
        <x:f>C470</x:f>
        <x:v>5173.501647877024</x:v>
      </x:c>
      <x:c r="J470" s="92" t="n">
        <x:f>IF(H470="","",MAX(H470,I470)/MIN(H470,I470))</x:f>
        <x:v>1.5688573088200461</x:v>
      </x:c>
    </x:row>
    <x:row r="471" ht="15" hidden="0" customHeight="1">
      <x:c r="A471" s="92" t="n">
        <x:v>354.5</x:v>
      </x:c>
      <x:c r="B471" s="92" t="n">
        <x:f>SQRT('拟合与方案'!$B$7^2+('拟合与方案'!$C$7*(A471-'拟合与方案'!$D$7))^2)</x:f>
        <x:v>4803.068472992965</x:v>
      </x:c>
      <x:c r="C471" s="92" t="n">
        <x:f>SQRT('拟合与方案'!$B$8^2+('拟合与方案'!$C$8*(A471-'拟合与方案'!$D$8))^2)</x:f>
        <x:v>5195.082418717501</x:v>
      </x:c>
      <x:c r="D471" s="92" t="n">
        <x:f>MAX(B471,C471)/MIN(B471,C471)</x:f>
        <x:v>1.0816173968638547</x:v>
      </x:c>
      <x:c r="E471" s="92" t="n">
        <x:f>IF(A471&lt;'拟合与方案'!$C$13,"",SQRT('拟合与方案'!$F$13^2+('拟合与方案'!$G$13*(A471-'拟合与方案'!$H$13))^2))</x:f>
        <x:v>6550.303798328362</x:v>
      </x:c>
      <x:c r="F471" s="92" t="n">
        <x:f>C471</x:f>
        <x:v>5195.082418717501</x:v>
      </x:c>
      <x:c r="G471" s="92" t="n">
        <x:f>IF(E471="","",MAX(E471,F471)/MIN(E471,F471))</x:f>
        <x:v>1.2608661942932988</x:v>
      </x:c>
      <x:c r="H471" s="92" t="n">
        <x:f>IF(A471&lt;'拟合与方案'!$C$15,"",SQRT('拟合与方案'!$F$15^2+('拟合与方案'!$G$15*(A471-'拟合与方案'!$H$15))^2))</x:f>
        <x:v>8150.573427915275</x:v>
      </x:c>
      <x:c r="I471" s="92" t="n">
        <x:f>C471</x:f>
        <x:v>5195.082418717501</x:v>
      </x:c>
      <x:c r="J471" s="92" t="n">
        <x:f>IF(H471="","",MAX(H471,I471)/MIN(H471,I471))</x:f>
        <x:v>1.5689016594903973</x:v>
      </x:c>
    </x:row>
    <x:row r="472" ht="15" hidden="0" customHeight="1">
      <x:c r="A472" s="92" t="n">
        <x:v>355</x:v>
      </x:c>
      <x:c r="B472" s="92" t="n">
        <x:f>SQRT('拟合与方案'!$B$7^2+('拟合与方案'!$C$7*(A472-'拟合与方案'!$D$7))^2)</x:f>
        <x:v>4822.463800066917</x:v>
      </x:c>
      <x:c r="C472" s="92" t="n">
        <x:f>SQRT('拟合与方案'!$B$8^2+('拟合与方案'!$C$8*(A472-'拟合与方案'!$D$8))^2)</x:f>
        <x:v>5216.664079380962</x:v>
      </x:c>
      <x:c r="D472" s="92" t="n">
        <x:f>MAX(B472,C472)/MIN(B472,C472)</x:f>
        <x:v>1.0817425066640365</x:v>
      </x:c>
      <x:c r="E472" s="92" t="n">
        <x:f>IF(A472&lt;'拟合与方案'!$C$13,"",SQRT('拟合与方案'!$F$13^2+('拟合与方案'!$G$13*(A472-'拟合与方案'!$H$13))^2))</x:f>
        <x:v>6577.519961467138</x:v>
      </x:c>
      <x:c r="F472" s="92" t="n">
        <x:f>C472</x:f>
        <x:v>5216.664079380962</x:v>
      </x:c>
      <x:c r="G472" s="92" t="n">
        <x:f>IF(E472="","",MAX(E472,F472)/MIN(E472,F472))</x:f>
        <x:v>1.2608670716339594</x:v>
      </x:c>
      <x:c r="H472" s="92" t="n">
        <x:f>IF(A472&lt;'拟合与方案'!$C$15,"",SQRT('拟合与方案'!$F$15^2+('拟合与方案'!$G$15*(A472-'拟合与方案'!$H$15))^2))</x:f>
        <x:v>8184.661554753201</x:v>
      </x:c>
      <x:c r="I472" s="92" t="n">
        <x:f>C472</x:f>
        <x:v>5216.664079380962</x:v>
      </x:c>
      <x:c r="J472" s="92" t="n">
        <x:f>IF(H472="","",MAX(H472,I472)/MIN(H472,I472))</x:f>
        <x:v>1.5689454851239795</x:v>
      </x:c>
    </x:row>
    <x:row r="473" ht="15" hidden="0" customHeight="1">
      <x:c r="A473" s="92" t="n">
        <x:v>355.5</x:v>
      </x:c>
      <x:c r="B473" s="92" t="n">
        <x:f>SQRT('拟合与方案'!$B$7^2+('拟合与方案'!$C$7*(A473-'拟合与方案'!$D$7))^2)</x:f>
        <x:v>4841.861885732101</x:v>
      </x:c>
      <x:c r="C473" s="92" t="n">
        <x:f>SQRT('拟合与方案'!$B$8^2+('拟合与方案'!$C$8*(A473-'拟合与方案'!$D$8))^2)</x:f>
        <x:v>5238.2466188691515</x:v>
      </x:c>
      <x:c r="D473" s="92" t="n">
        <x:f>MAX(B473,C473)/MIN(B473,C473)</x:f>
        <x:v>1.0818661792698196</x:v>
      </x:c>
      <x:c r="E473" s="92" t="n">
        <x:f>IF(A473&lt;'拟合与方案'!$C$13,"",SQRT('拟合与方案'!$F$13^2+('拟合与方案'!$G$13*(A473-'拟合与方案'!$H$13))^2))</x:f>
        <x:v>6604.737211802826</x:v>
      </x:c>
      <x:c r="F473" s="92" t="n">
        <x:f>C473</x:f>
        <x:v>5238.2466188691515</x:v>
      </x:c>
      <x:c r="G473" s="92" t="n">
        <x:f>IF(E473="","",MAX(E473,F473)/MIN(E473,F473))</x:f>
        <x:v>1.2608679377582792</x:v>
      </x:c>
      <x:c r="H473" s="92" t="n">
        <x:f>IF(A473&lt;'拟合与方案'!$C$15,"",SQRT('拟合与方案'!$F$15^2+('拟合与方案'!$G$15*(A473-'拟合与方案'!$H$15))^2))</x:f>
        <x:v>8218.750245868541</x:v>
      </x:c>
      <x:c r="I473" s="92" t="n">
        <x:f>C473</x:f>
        <x:v>5238.2466188691515</x:v>
      </x:c>
      <x:c r="J473" s="92" t="n">
        <x:f>IF(H473="","",MAX(H473,I473)/MIN(H473,I473))</x:f>
        <x:v>1.5689887941249376</x:v>
      </x:c>
    </x:row>
    <x:row r="474" ht="15" hidden="0" customHeight="1">
      <x:c r="A474" s="92" t="n">
        <x:v>356</x:v>
      </x:c>
      <x:c r="B474" s="92" t="n">
        <x:f>SQRT('拟合与方案'!$B$7^2+('拟合与方案'!$C$7*(A474-'拟合与方案'!$D$7))^2)</x:f>
        <x:v>4861.262696965372</x:v>
      </x:c>
      <x:c r="C474" s="92" t="n">
        <x:f>SQRT('拟合与方案'!$B$8^2+('拟合与方案'!$C$8*(A474-'拟合与方案'!$D$8))^2)</x:f>
        <x:v>5259.830026363885</x:v>
      </x:c>
      <x:c r="D474" s="92" t="n">
        <x:f>MAX(B474,C474)/MIN(B474,C474)</x:f>
        <x:v>1.081988436800035</x:v>
      </x:c>
      <x:c r="E474" s="92" t="n">
        <x:f>IF(A474&lt;'拟合与方案'!$C$13,"",SQRT('拟合与方案'!$F$13^2+('拟合与方案'!$G$13*(A474-'拟合与方案'!$H$13))^2))</x:f>
        <x:v>6631.955535950001</x:v>
      </x:c>
      <x:c r="F474" s="92" t="n">
        <x:f>C474</x:f>
        <x:v>5259.830026363885</x:v>
      </x:c>
      <x:c r="G474" s="92" t="n">
        <x:f>IF(E474="","",MAX(E474,F474)/MIN(E474,F474))</x:f>
        <x:v>1.2608687928523548</x:v>
      </x:c>
      <x:c r="H474" s="92" t="n">
        <x:f>IF(A474&lt;'拟合与方案'!$C$15,"",SQRT('拟合与方案'!$F$15^2+('拟合与方案'!$G$15*(A474-'拟合与方案'!$H$15))^2))</x:f>
        <x:v>8252.83949426898</x:v>
      </x:c>
      <x:c r="I474" s="92" t="n">
        <x:f>C474</x:f>
        <x:v>5259.830026363885</x:v>
      </x:c>
      <x:c r="J474" s="92" t="n">
        <x:f>IF(H474="","",MAX(H474,I474)/MIN(H474,I474))</x:f>
        <x:v>1.5690315947289573</x:v>
      </x:c>
    </x:row>
    <x:row r="475" ht="15" hidden="0" customHeight="1">
      <x:c r="A475" s="92" t="n">
        <x:v>356.5</x:v>
      </x:c>
      <x:c r="B475" s="92" t="n">
        <x:f>SQRT('拟合与方案'!$B$7^2+('拟合与方案'!$C$7*(A475-'拟合与方案'!$D$7))^2)</x:f>
        <x:v>4880.666201264058</x:v>
      </x:c>
      <x:c r="C475" s="92" t="n">
        <x:f>SQRT('拟合与方案'!$B$8^2+('拟合与方案'!$C$8*(A475-'拟合与方案'!$D$8))^2)</x:f>
        <x:v>5281.414291223388</x:v>
      </x:c>
      <x:c r="D475" s="92" t="n">
        <x:f>MAX(B475,C475)/MIN(B475,C475)</x:f>
        <x:v>1.082109300950665</x:v>
      </x:c>
      <x:c r="E475" s="92" t="n">
        <x:f>IF(A475&lt;'拟合与方案'!$C$13,"",SQRT('拟合与方案'!$F$13^2+('拟合与方案'!$G$13*(A475-'拟合与方案'!$H$13))^2))</x:f>
        <x:v>6659.1749207415605</x:v>
      </x:c>
      <x:c r="F475" s="92" t="n">
        <x:f>C475</x:f>
        <x:v>5281.414291223388</x:v>
      </x:c>
      <x:c r="G475" s="92" t="n">
        <x:f>IF(E475="","",MAX(E475,F475)/MIN(E475,F475))</x:f>
        <x:v>1.2608696370984802</x:v>
      </x:c>
      <x:c r="H475" s="92" t="n">
        <x:f>IF(A475&lt;'拟合与方案'!$C$15,"",SQRT('拟合与方案'!$F$15^2+('拟合与方案'!$G$15*(A475-'拟合与方案'!$H$15))^2))</x:f>
        <x:v>8286.929293077143</x:v>
      </x:c>
      <x:c r="I475" s="92" t="n">
        <x:f>C475</x:f>
        <x:v>5281.414291223388</x:v>
      </x:c>
      <x:c r="J475" s="92" t="n">
        <x:f>IF(H475="","",MAX(H475,I475)/MIN(H475,I475))</x:f>
        <x:v>1.569073895007308</x:v>
      </x:c>
    </x:row>
    <x:row r="476" ht="15" hidden="0" customHeight="1">
      <x:c r="A476" s="92" t="n">
        <x:v>357</x:v>
      </x:c>
      <x:c r="B476" s="92" t="n">
        <x:f>SQRT('拟合与方案'!$B$7^2+('拟合与方案'!$C$7*(A476-'拟合与方案'!$D$7))^2)</x:f>
        <x:v>4900.072366635834</x:v>
      </x:c>
      <x:c r="C476" s="92" t="n">
        <x:f>SQRT('拟合与方案'!$B$8^2+('拟合与方案'!$C$8*(A476-'拟合与方案'!$D$8))^2)</x:f>
        <x:v>5302.999402978726</x:v>
      </x:c>
      <x:c r="D476" s="92" t="n">
        <x:f>MAX(B476,C476)/MIN(B476,C476)</x:f>
        <x:v>1.0822287930044434</x:v>
      </x:c>
      <x:c r="E476" s="92" t="n">
        <x:f>IF(A476&lt;'拟合与方案'!$C$13,"",SQRT('拟合与方案'!$F$13^2+('拟合与方案'!$G$13*(A476-'拟合与方案'!$H$13))^2))</x:f>
        <x:v>6686.395353224299</x:v>
      </x:c>
      <x:c r="F476" s="92" t="n">
        <x:f>C476</x:f>
        <x:v>5302.999402978726</x:v>
      </x:c>
      <x:c r="G476" s="92" t="n">
        <x:f>IF(E476="","",MAX(E476,F476)/MIN(E476,F476))</x:f>
        <x:v>1.2608704706752392</x:v>
      </x:c>
      <x:c r="H476" s="92" t="n">
        <x:f>IF(A476&lt;'拟合与方案'!$C$15,"",SQRT('拟合与方案'!$F$15^2+('拟合与方案'!$G$15*(A476-'拟合与方案'!$H$15))^2))</x:f>
        <x:v>8321.019635528257</x:v>
      </x:c>
      <x:c r="I476" s="92" t="n">
        <x:f>C476</x:f>
        <x:v>5302.999402978726</x:v>
      </x:c>
      <x:c r="J476" s="92" t="n">
        <x:f>IF(H476="","",MAX(H476,I476)/MIN(H476,I476))</x:f>
        <x:v>1.5691157028707738</x:v>
      </x:c>
    </x:row>
    <x:row r="477" ht="15" hidden="0" customHeight="1">
      <x:c r="A477" s="92" t="n">
        <x:v>357.5</x:v>
      </x:c>
      <x:c r="B477" s="92" t="n">
        <x:f>SQRT('拟合与方案'!$B$7^2+('拟合与方案'!$C$7*(A477-'拟合与方案'!$D$7))^2)</x:f>
        <x:v>4919.481161588827</x:v>
      </x:c>
      <x:c r="C477" s="92" t="n">
        <x:f>SQRT('拟合与方案'!$B$8^2+('拟合与方案'!$C$8*(A477-'拟合与方案'!$D$8))^2)</x:f>
        <x:v>5324.585351330311</x:v>
      </x:c>
      <x:c r="D477" s="92" t="n">
        <x:f>MAX(B477,C477)/MIN(B477,C477)</x:f>
        <x:v>1.0823469338402039</x:v>
      </x:c>
      <x:c r="E477" s="92" t="n">
        <x:f>IF(A477&lt;'拟合与方案'!$C$13,"",SQRT('拟合与方案'!$F$13^2+('拟合与方案'!$G$13*(A477-'拟合与方案'!$H$13))^2))</x:f>
        <x:v>6713.616820654586</x:v>
      </x:c>
      <x:c r="F477" s="92" t="n">
        <x:f>C477</x:f>
        <x:v>5324.585351330311</x:v>
      </x:c>
      <x:c r="G477" s="92" t="n">
        <x:f>IF(E477="","",MAX(E477,F477)/MIN(E477,F477))</x:f>
        <x:v>1.2608712937575948</x:v>
      </x:c>
      <x:c r="H477" s="92" t="n">
        <x:f>IF(A477&lt;'拟合与方案'!$C$15,"",SQRT('拟合与方案'!$F$15^2+('拟合与方案'!$G$15*(A477-'拟合与方案'!$H$15))^2))</x:f>
        <x:v>8355.110514967837</x:v>
      </x:c>
      <x:c r="I477" s="92" t="n">
        <x:f>C477</x:f>
        <x:v>5324.585351330311</x:v>
      </x:c>
      <x:c r="J477" s="92" t="n">
        <x:f>IF(H477="","",MAX(H477,I477)/MIN(H477,I477))</x:f>
        <x:v>1.5691570260734706</x:v>
      </x:c>
    </x:row>
    <x:row r="478" ht="15" hidden="0" customHeight="1">
      <x:c r="A478" s="92" t="n">
        <x:v>358</x:v>
      </x:c>
      <x:c r="B478" s="92" t="n">
        <x:f>SQRT('拟合与方案'!$B$7^2+('拟合与方案'!$C$7*(A478-'拟合与方案'!$D$7))^2)</x:f>
        <x:v>4938.892555121955</x:v>
      </x:c>
      <x:c r="C478" s="92" t="n">
        <x:f>SQRT('拟合与方案'!$B$8^2+('拟合与方案'!$C$8*(A478-'拟合与方案'!$D$8))^2)</x:f>
        <x:v>5346.172126144506</x:v>
      </x:c>
      <x:c r="D478" s="92" t="n">
        <x:f>MAX(B478,C478)/MIN(B478,C478)</x:f>
        <x:v>1.0824637439419846</x:v>
      </x:c>
      <x:c r="E478" s="92" t="n">
        <x:f>IF(A478&lt;'拟合与方案'!$C$13,"",SQRT('拟合与方案'!$F$13^2+('拟合与方案'!$G$13*(A478-'拟合与方案'!$H$13))^2))</x:f>
        <x:v>6740.839310494171</x:v>
      </x:c>
      <x:c r="F478" s="92" t="n">
        <x:f>C478</x:f>
        <x:v>5346.172126144506</x:v>
      </x:c>
      <x:c r="G478" s="92" t="n">
        <x:f>IF(E478="","",MAX(E478,F478)/MIN(E478,F478))</x:f>
        <x:v>1.2608721065169772</x:v>
      </x:c>
      <x:c r="H478" s="92" t="n">
        <x:f>IF(A478&lt;'拟合与方案'!$C$15,"",SQRT('拟合与方案'!$F$15^2+('拟合与方案'!$G$15*(A478-'拟合与方案'!$H$15))^2))</x:f>
        <x:v>8389.201924849465</x:v>
      </x:c>
      <x:c r="I478" s="92" t="n">
        <x:f>C478</x:f>
        <x:v>5346.172126144506</x:v>
      </x:c>
      <x:c r="J478" s="92" t="n">
        <x:f>IF(H478="","",MAX(H478,I478)/MIN(H478,I478))</x:f>
        <x:v>1.5691978722165643</x:v>
      </x:c>
    </x:row>
    <x:row r="479" ht="15" hidden="0" customHeight="1">
      <x:c r="A479" s="92" t="n">
        <x:v>358.5</x:v>
      </x:c>
      <x:c r="B479" s="92" t="n">
        <x:f>SQRT('拟合与方案'!$B$7^2+('拟合与方案'!$C$7*(A479-'拟合与方案'!$D$7))^2)</x:f>
        <x:v>4958.306516715487</x:v>
      </x:c>
      <x:c r="C479" s="92" t="n">
        <x:f>SQRT('拟合与方案'!$B$8^2+('拟合与方案'!$C$8*(A479-'拟合与方案'!$D$8))^2)</x:f>
        <x:v>5367.759717450303</x:v>
      </x:c>
      <x:c r="D479" s="92" t="n">
        <x:f>MAX(B479,C479)/MIN(B479,C479)</x:f>
        <x:v>1.082579243407898</x:v>
      </x:c>
      <x:c r="E479" s="92" t="n">
        <x:f>IF(A479&lt;'拟合与方案'!$C$13,"",SQRT('拟合与方案'!$F$13^2+('拟合与方案'!$G$13*(A479-'拟合与方案'!$H$13))^2))</x:f>
        <x:v>6768.062810406051</x:v>
      </x:c>
      <x:c r="F479" s="92" t="n">
        <x:f>C479</x:f>
        <x:v>5367.759717450303</x:v>
      </x:c>
      <x:c r="G479" s="92" t="n">
        <x:f>IF(E479="","",MAX(E479,F479)/MIN(E479,F479))</x:f>
        <x:v>1.260872909121367</x:v>
      </x:c>
      <x:c r="H479" s="92" t="n">
        <x:f>IF(A479&lt;'拟合与方案'!$C$15,"",SQRT('拟合与方案'!$F$15^2+('拟合与方案'!$G$15*(A479-'拟合与方案'!$H$15))^2))</x:f>
        <x:v>8423.293858732603</x:v>
      </x:c>
      <x:c r="I479" s="92" t="n">
        <x:f>C479</x:f>
        <x:v>5367.759717450303</x:v>
      </x:c>
      <x:c r="J479" s="92" t="n">
        <x:f>IF(H479="","",MAX(H479,I479)/MIN(H479,I479))</x:f>
        <x:v>1.5692382487518806</x:v>
      </x:c>
    </x:row>
    <x:row r="480" ht="15" hidden="0" customHeight="1">
      <x:c r="A480" s="92" t="n">
        <x:v>359</x:v>
      </x:c>
      <x:c r="B480" s="92" t="n">
        <x:f>SQRT('拟合与方案'!$B$7^2+('拟合与方案'!$C$7*(A480-'拟合与方案'!$D$7))^2)</x:f>
        <x:v>4977.723016321814</x:v>
      </x:c>
      <x:c r="C480" s="92" t="n">
        <x:f>SQRT('拟合与方案'!$B$8^2+('拟合与方案'!$C$8*(A480-'拟合与方案'!$D$8))^2)</x:f>
        <x:v>5389.348115436074</x:v>
      </x:c>
      <x:c r="D480" s="92" t="n">
        <x:f>MAX(B480,C480)/MIN(B480,C480)</x:f>
        <x:v>1.0826934519587679</x:v>
      </x:c>
      <x:c r="E480" s="92" t="n">
        <x:f>IF(A480&lt;'拟合与方案'!$C$13,"",SQRT('拟合与方案'!$F$13^2+('拟合与方案'!$G$13*(A480-'拟合与方案'!$H$13))^2))</x:f>
        <x:v>6795.287308250474</x:v>
      </x:c>
      <x:c r="F480" s="92" t="n">
        <x:f>C480</x:f>
        <x:v>5389.348115436074</x:v>
      </x:c>
      <x:c r="G480" s="92" t="n">
        <x:f>IF(E480="","",MAX(E480,F480)/MIN(E480,F480))</x:f>
        <x:v>1.2608737017353795</x:v>
      </x:c>
      <x:c r="H480" s="92" t="n">
        <x:f>IF(A480&lt;'拟合与方案'!$C$15,"",SQRT('拟合与方案'!$F$15^2+('拟合与方案'!$G$15*(A480-'拟合与方案'!$H$15))^2))</x:f>
        <x:v>8457.38631028046</x:v>
      </x:c>
      <x:c r="I480" s="92" t="n">
        <x:f>C480</x:f>
        <x:v>5389.348115436074</x:v>
      </x:c>
      <x:c r="J480" s="92" t="n">
        <x:f>IF(H480="","",MAX(H480,I480)/MIN(H480,I480))</x:f>
        <x:v>1.5692781629854204</x:v>
      </x:c>
    </x:row>
    <x:row r="481" ht="15" hidden="0" customHeight="1">
      <x:c r="A481" s="92" t="n">
        <x:v>359.5</x:v>
      </x:c>
      <x:c r="B481" s="92" t="n">
        <x:f>SQRT('拟合与方案'!$B$7^2+('拟合与方案'!$C$7*(A481-'拟合与方案'!$D$7))^2)</x:f>
        <x:v>4997.142024356429</x:v>
      </x:c>
      <x:c r="C481" s="92" t="n">
        <x:f>SQRT('拟合与方案'!$B$8^2+('拟合与方案'!$C$8*(A481-'拟合与方案'!$D$8))^2)</x:f>
        <x:v>5410.9373104464175</x:v>
      </x:c>
      <x:c r="D481" s="92" t="n">
        <x:f>MAX(B481,C481)/MIN(B481,C481)</x:f>
        <x:v>1.082806388946546</x:v>
      </x:c>
      <x:c r="E481" s="92" t="n">
        <x:f>IF(A481&lt;'拟合与方案'!$C$13,"",SQRT('拟合与方案'!$F$13^2+('拟合与方案'!$G$13*(A481-'拟合与方案'!$H$13))^2))</x:f>
        <x:v>6822.512792081017</x:v>
      </x:c>
      <x:c r="F481" s="92" t="n">
        <x:f>C481</x:f>
        <x:v>5410.9373104464175</x:v>
      </x:c>
      <x:c r="G481" s="92" t="n">
        <x:f>IF(E481="","",MAX(E481,F481)/MIN(E481,F481))</x:f>
        <x:v>1.2608744845203428</x:v>
      </x:c>
      <x:c r="H481" s="92" t="n">
        <x:f>IF(A481&lt;'拟合与方案'!$C$15,"",SQRT('拟合与方案'!$F$15^2+('拟合与方案'!$G$15*(A481-'拟合与方案'!$H$15))^2))</x:f>
        <x:v>8491.479273257923</x:v>
      </x:c>
      <x:c r="I481" s="92" t="n">
        <x:f>C481</x:f>
        <x:v>5410.9373104464175</x:v>
      </x:c>
      <x:c r="J481" s="92" t="n">
        <x:f>IF(H481="","",MAX(H481,I481)/MIN(H481,I481))</x:f>
        <x:v>1.569317622080776</x:v>
      </x:c>
    </x:row>
    <x:row r="482" ht="15" hidden="0" customHeight="1">
      <x:c r="A482" s="92" t="n">
        <x:v>360</x:v>
      </x:c>
      <x:c r="B482" s="92" t="n">
        <x:f>SQRT('拟合与方案'!$B$7^2+('拟合与方案'!$C$7*(A482-'拟合与方案'!$D$7))^2)</x:f>
        <x:v>5016.563511689121</x:v>
      </x:c>
      <x:c r="C482" s="92" t="n">
        <x:f>SQRT('拟合与方案'!$B$8^2+('拟合与方案'!$C$8*(A482-'拟合与方案'!$D$8))^2)</x:f>
        <x:v>5432.527292979059</x:v>
      </x:c>
      <x:c r="D482" s="92" t="n">
        <x:f>MAX(B482,C482)/MIN(B482,C482)</x:f>
        <x:v>1.0829180733625117</x:v>
      </x:c>
      <x:c r="E482" s="92" t="n">
        <x:f>IF(A482&lt;'拟合与方案'!$C$13,"",SQRT('拟合与方案'!$F$13^2+('拟合与方案'!$G$13*(A482-'拟合与方案'!$H$13))^2))</x:f>
        <x:v>6849.739250140757</x:v>
      </x:c>
      <x:c r="F482" s="92" t="n">
        <x:f>C482</x:f>
        <x:v>5432.527292979059</x:v>
      </x:c>
      <x:c r="G482" s="92" t="n">
        <x:f>IF(E482="","",MAX(E482,F482)/MIN(E482,F482))</x:f>
        <x:v>1.2608752576343771</x:v>
      </x:c>
      <x:c r="H482" s="92" t="n">
        <x:f>IF(A482&lt;'拟合与方案'!$C$15,"",SQRT('拟合与方案'!$F$15^2+('拟合与方案'!$G$15*(A482-'拟合与方案'!$H$15))^2))</x:f>
        <x:v>8525.572741529506</x:v>
      </x:c>
      <x:c r="I482" s="92" t="n">
        <x:f>C482</x:f>
        <x:v>5432.527292979059</x:v>
      </x:c>
      <x:c r="J482" s="92" t="n">
        <x:f>IF(H482="","",MAX(H482,I482)/MIN(H482,I482))</x:f>
        <x:v>1.5693566330624544</x:v>
      </x:c>
    </x:row>
  </x:sheetData>
  <x:pageMargins left="0.7" right="0.7" top="0.75" bottom="0.75" header="0.3" footer="0.3"/>
  <x:tableParts count="1">
    <x:tablePart xmlns:r="http://schemas.openxmlformats.org/officeDocument/2006/relationships" r:id="Re5b181705f1a43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15" hidden="0" customHeight="1">
      <x:c r="A1" s="91" t="str">
        <x:v>位置误差_mm</x:v>
      </x:c>
      <x:c r="B1" s="91" t="str">
        <x:v>焦距误差_%</x:v>
      </x:c>
      <x:c r="C1" s="91" t="str">
        <x:v>220–250最大椭圆率</x:v>
      </x:c>
      <x:c r="D1" s="91" t="str">
        <x:v>220–250平均椭圆率</x:v>
      </x:c>
    </x:row>
    <x:row r="2" ht="15" hidden="0" customHeight="1">
      <x:c r="A2" s="92" t="n">
        <x:v>-2</x:v>
      </x:c>
      <x:c r="B2" s="92" t="n">
        <x:v>-2</x:v>
      </x:c>
      <x:c r="C2" s="92" t="n">
        <x:v>1.3376012106192028</x:v>
      </x:c>
      <x:c r="D2" s="92" t="n">
        <x:v>1.238516165244466</x:v>
      </x:c>
    </x:row>
    <x:row r="3" ht="15" hidden="0" customHeight="1">
      <x:c r="A3" s="92" t="n">
        <x:v>-2</x:v>
      </x:c>
      <x:c r="B3" s="92" t="n">
        <x:v>-1</x:v>
      </x:c>
      <x:c r="C3" s="92" t="n">
        <x:v>1.3341743763379745</x:v>
      </x:c>
      <x:c r="D3" s="92" t="n">
        <x:v>1.2398966352836496</x:v>
      </x:c>
    </x:row>
    <x:row r="4" ht="15" hidden="0" customHeight="1">
      <x:c r="A4" s="92" t="n">
        <x:v>-2</x:v>
      </x:c>
      <x:c r="B4" s="92" t="n">
        <x:v>0</x:v>
      </x:c>
      <x:c r="C4" s="92" t="n">
        <x:v>1.3308698061429722</x:v>
      </x:c>
      <x:c r="D4" s="92" t="n">
        <x:v>1.241284137374719</x:v>
      </x:c>
    </x:row>
    <x:row r="5" ht="15" hidden="0" customHeight="1">
      <x:c r="A5" s="92" t="n">
        <x:v>-2</x:v>
      </x:c>
      <x:c r="B5" s="92" t="n">
        <x:v>0.9999999999999999</x:v>
      </x:c>
      <x:c r="C5" s="92" t="n">
        <x:v>1.3276826739135552</x:v>
      </x:c>
      <x:c r="D5" s="92" t="n">
        <x:v>1.2426774249968744</x:v>
      </x:c>
    </x:row>
    <x:row r="6" ht="15" hidden="0" customHeight="1">
      <x:c r="A6" s="92" t="n">
        <x:v>-2</x:v>
      </x:c>
      <x:c r="B6" s="92" t="n">
        <x:v>2</x:v>
      </x:c>
      <x:c r="C6" s="92" t="n">
        <x:v>1.3246083720224644</x:v>
      </x:c>
      <x:c r="D6" s="92" t="n">
        <x:v>1.244075338777752</x:v>
      </x:c>
    </x:row>
    <x:row r="7" ht="15" hidden="0" customHeight="1">
      <x:c r="A7" s="92" t="n">
        <x:v>-1.5</x:v>
      </x:c>
      <x:c r="B7" s="92" t="n">
        <x:v>-2</x:v>
      </x:c>
      <x:c r="C7" s="92" t="n">
        <x:v>1.31729122119451</x:v>
      </x:c>
      <x:c r="D7" s="92" t="n">
        <x:v>1.2401956252768929</x:v>
      </x:c>
    </x:row>
    <x:row r="8" ht="15" hidden="0" customHeight="1">
      <x:c r="A8" s="92" t="n">
        <x:v>-1.5</x:v>
      </x:c>
      <x:c r="B8" s="92" t="n">
        <x:v>-1</x:v>
      </x:c>
      <x:c r="C8" s="92" t="n">
        <x:v>1.3141810574545603</x:v>
      </x:c>
      <x:c r="D8" s="92" t="n">
        <x:v>1.2416742337745237</x:v>
      </x:c>
    </x:row>
    <x:row r="9" ht="15" hidden="0" customHeight="1">
      <x:c r="A9" s="92" t="n">
        <x:v>-1.5</x:v>
      </x:c>
      <x:c r="B9" s="92" t="n">
        <x:v>0</x:v>
      </x:c>
      <x:c r="C9" s="92" t="n">
        <x:v>1.3111859403835746</x:v>
      </x:c>
      <x:c r="D9" s="92" t="n">
        <x:v>1.24315569579446</x:v>
      </x:c>
    </x:row>
    <x:row r="10" ht="15" hidden="0" customHeight="1">
      <x:c r="A10" s="92" t="n">
        <x:v>-1.5</x:v>
      </x:c>
      <x:c r="B10" s="92" t="n">
        <x:v>0.9999999999999999</x:v>
      </x:c>
      <x:c r="C10" s="92" t="n">
        <x:v>1.3083012474797342</x:v>
      </x:c>
      <x:c r="D10" s="92" t="n">
        <x:v>1.244638944353289</x:v>
      </x:c>
    </x:row>
    <x:row r="11" ht="15" hidden="0" customHeight="1">
      <x:c r="A11" s="92" t="n">
        <x:v>-1.5</x:v>
      </x:c>
      <x:c r="B11" s="92" t="n">
        <x:v>2</x:v>
      </x:c>
      <x:c r="C11" s="92" t="n">
        <x:v>1.3055225680958435</x:v>
      </x:c>
      <x:c r="D11" s="92" t="n">
        <x:v>1.2461229910347633</x:v>
      </x:c>
    </x:row>
    <x:row r="12" ht="15" hidden="0" customHeight="1">
      <x:c r="A12" s="92" t="n">
        <x:v>-1</x:v>
      </x:c>
      <x:c r="B12" s="92" t="n">
        <x:v>-2</x:v>
      </x:c>
      <x:c r="C12" s="92" t="n">
        <x:v>1.2976859562111525</x:v>
      </x:c>
      <x:c r="D12" s="92" t="n">
        <x:v>1.2425080535431998</x:v>
      </x:c>
    </x:row>
    <x:row r="13" ht="15" hidden="0" customHeight="1">
      <x:c r="A13" s="92" t="n">
        <x:v>-1</x:v>
      </x:c>
      <x:c r="B13" s="92" t="n">
        <x:v>-1</x:v>
      </x:c>
      <x:c r="C13" s="92" t="n">
        <x:v>1.2948860032397131</x:v>
      </x:c>
      <x:c r="D13" s="92" t="n">
        <x:v>1.2440725610097751</x:v>
      </x:c>
    </x:row>
    <x:row r="14" ht="15" hidden="0" customHeight="1">
      <x:c r="A14" s="92" t="n">
        <x:v>-1</x:v>
      </x:c>
      <x:c r="B14" s="92" t="n">
        <x:v>0</x:v>
      </x:c>
      <x:c r="C14" s="92" t="n">
        <x:v>1.2921939247967102</x:v>
      </x:c>
      <x:c r="D14" s="92" t="n">
        <x:v>1.2456360683078922</x:v>
      </x:c>
    </x:row>
    <x:row r="15" ht="15" hidden="0" customHeight="1">
      <x:c r="A15" s="92" t="n">
        <x:v>-1</x:v>
      </x:c>
      <x:c r="B15" s="92" t="n">
        <x:v>0.9999999999999999</x:v>
      </x:c>
      <x:c r="C15" s="92" t="n">
        <x:v>1.2896053033143644</x:v>
      </x:c>
      <x:c r="D15" s="92" t="n">
        <x:v>1.2471976775292877</x:v>
      </x:c>
    </x:row>
    <x:row r="16" ht="15" hidden="0" customHeight="1">
      <x:c r="A16" s="92" t="n">
        <x:v>-1</x:v>
      </x:c>
      <x:c r="B16" s="92" t="n">
        <x:v>2</x:v>
      </x:c>
      <x:c r="C16" s="92" t="n">
        <x:v>1.2871159263536358</x:v>
      </x:c>
      <x:c r="D16" s="92" t="n">
        <x:v>1.2487565611311118</x:v>
      </x:c>
    </x:row>
    <x:row r="17" ht="15" hidden="0" customHeight="1">
      <x:c r="A17" s="92" t="n">
        <x:v>-0.5</x:v>
      </x:c>
      <x:c r="B17" s="92" t="n">
        <x:v>-2</x:v>
      </x:c>
      <x:c r="C17" s="92" t="n">
        <x:v>1.2787902646222398</x:v>
      </x:c>
      <x:c r="D17" s="92" t="n">
        <x:v>1.2454284918831615</x:v>
      </x:c>
    </x:row>
    <x:row r="18" ht="15" hidden="0" customHeight="1">
      <x:c r="A18" s="92" t="n">
        <x:v>-0.5</x:v>
      </x:c>
      <x:c r="B18" s="92" t="n">
        <x:v>-1</x:v>
      </x:c>
      <x:c r="C18" s="92" t="n">
        <x:v>1.2762938204037682</x:v>
      </x:c>
      <x:c r="D18" s="92" t="n">
        <x:v>1.2470670273931348</x:v>
      </x:c>
    </x:row>
    <x:row r="19" ht="15" hidden="0" customHeight="1">
      <x:c r="A19" s="92" t="n">
        <x:v>-0.5</x:v>
      </x:c>
      <x:c r="B19" s="92" t="n">
        <x:v>0</x:v>
      </x:c>
      <x:c r="C19" s="92" t="n">
        <x:v>1.273898129102233</x:v>
      </x:c>
      <x:c r="D19" s="92" t="n">
        <x:v>1.248701028114873</x:v>
      </x:c>
    </x:row>
    <x:row r="20" ht="15" hidden="0" customHeight="1">
      <x:c r="A20" s="92" t="n">
        <x:v>-0.5</x:v>
      </x:c>
      <x:c r="B20" s="92" t="n">
        <x:v>0.9999999999999999</x:v>
      </x:c>
      <x:c r="C20" s="92" t="n">
        <x:v>1.2715989794580915</x:v>
      </x:c>
      <x:c r="D20" s="92" t="n">
        <x:v>1.2503297547765027</x:v>
      </x:c>
    </x:row>
    <x:row r="21" ht="15" hidden="0" customHeight="1">
      <x:c r="A21" s="92" t="n">
        <x:v>-0.5</x:v>
      </x:c>
      <x:c r="B21" s="92" t="n">
        <x:v>2</x:v>
      </x:c>
      <x:c r="C21" s="92" t="n">
        <x:v>1.269392358510052</x:v>
      </x:c>
      <x:c r="D21" s="92" t="n">
        <x:v>1.2519525306558486</x:v>
      </x:c>
    </x:row>
    <x:row r="22" ht="15" hidden="0" customHeight="1">
      <x:c r="A22" s="92" t="n">
        <x:v>0</x:v>
      </x:c>
      <x:c r="B22" s="92" t="n">
        <x:v>-2</x:v>
      </x:c>
      <x:c r="C22" s="92" t="n">
        <x:v>1.2606086690741825</x:v>
      </x:c>
      <x:c r="D22" s="92" t="n">
        <x:v>1.248932179171197</x:v>
      </x:c>
    </x:row>
    <x:row r="23" ht="15" hidden="0" customHeight="1">
      <x:c r="A23" s="92" t="n">
        <x:v>0</x:v>
      </x:c>
      <x:c r="B23" s="92" t="n">
        <x:v>-1</x:v>
      </x:c>
      <x:c r="C23" s="92" t="n">
        <x:v>1.2584087804401318</x:v>
      </x:c>
      <x:c r="D23" s="92" t="n">
        <x:v>1.2506332476445399</x:v>
      </x:c>
    </x:row>
    <x:row r="24" ht="15" hidden="0" customHeight="1">
      <x:c r="A24" s="92" t="n">
        <x:v>0</x:v>
      </x:c>
      <x:c r="B24" s="92" t="n">
        <x:v>0</x:v>
      </x:c>
      <x:c r="C24" s="92" t="n">
        <x:v>1.2563026424385304</x:v>
      </x:c>
      <x:c r="D24" s="92" t="n">
        <x:v>1.2523265595322834</x:v>
      </x:c>
    </x:row>
    <x:row r="25" ht="15" hidden="0" customHeight="1">
      <x:c r="A25" s="92" t="n">
        <x:v>0</x:v>
      </x:c>
      <x:c r="B25" s="92" t="n">
        <x:v>0.9999999999999999</x:v>
      </x:c>
      <x:c r="C25" s="92" t="n">
        <x:v>1.256446683785707</x:v>
      </x:c>
      <x:c r="D25" s="92" t="n">
        <x:v>1.2540115238064067</x:v>
      </x:c>
    </x:row>
    <x:row r="26" ht="15" hidden="0" customHeight="1">
      <x:c r="A26" s="92" t="n">
        <x:v>0</x:v>
      </x:c>
      <x:c r="B26" s="92" t="n">
        <x:v>2</x:v>
      </x:c>
      <x:c r="C26" s="92" t="n">
        <x:v>1.2577192873243785</x:v>
      </x:c>
      <x:c r="D26" s="92" t="n">
        <x:v>1.2556876045644862</x:v>
      </x:c>
    </x:row>
    <x:row r="27" ht="15" hidden="0" customHeight="1">
      <x:c r="A27" s="92" t="n">
        <x:v>0.5</x:v>
      </x:c>
      <x:c r="B27" s="92" t="n">
        <x:v>-2</x:v>
      </x:c>
      <x:c r="C27" s="92" t="n">
        <x:v>1.269140539341383</x:v>
      </x:c>
      <x:c r="D27" s="92" t="n">
        <x:v>1.2529945952289765</x:v>
      </x:c>
    </x:row>
    <x:row r="28" ht="15" hidden="0" customHeight="1">
      <x:c r="A28" s="92" t="n">
        <x:v>0.5</x:v>
      </x:c>
      <x:c r="B28" s="92" t="n">
        <x:v>-1</x:v>
      </x:c>
      <x:c r="C28" s="92" t="n">
        <x:v>1.2693461621497548</x:v>
      </x:c>
      <x:c r="D28" s="92" t="n">
        <x:v>1.254747083588487</x:v>
      </x:c>
    </x:row>
    <x:row r="29" ht="15" hidden="0" customHeight="1">
      <x:c r="A29" s="92" t="n">
        <x:v>0.5</x:v>
      </x:c>
      <x:c r="B29" s="92" t="n">
        <x:v>0</x:v>
      </x:c>
      <x:c r="C29" s="92" t="n">
        <x:v>1.2705596690322811</x:v>
      </x:c>
      <x:c r="D29" s="92" t="n">
        <x:v>1.2564888996844834</x:v>
      </x:c>
    </x:row>
    <x:row r="30" ht="15" hidden="0" customHeight="1">
      <x:c r="A30" s="92" t="n">
        <x:v>0.5</x:v>
      </x:c>
      <x:c r="B30" s="92" t="n">
        <x:v>0.9999999999999999</x:v>
      </x:c>
      <x:c r="C30" s="92" t="n">
        <x:v>1.2726202879107598</x:v>
      </x:c>
      <x:c r="D30" s="92" t="n">
        <x:v>1.2582195904088904</x:v>
      </x:c>
    </x:row>
    <x:row r="31" ht="15" hidden="0" customHeight="1">
      <x:c r="A31" s="92" t="n">
        <x:v>0.5</x:v>
      </x:c>
      <x:c r="B31" s="92" t="n">
        <x:v>2</x:v>
      </x:c>
      <x:c r="C31" s="92" t="n">
        <x:v>1.2752309383768596</x:v>
      </x:c>
      <x:c r="D31" s="92" t="n">
        <x:v>1.2599387507513466</x:v>
      </x:c>
    </x:row>
    <x:row r="32" ht="15" hidden="0" customHeight="1">
      <x:c r="A32" s="92" t="n">
        <x:v>1</x:v>
      </x:c>
      <x:c r="B32" s="92" t="n">
        <x:v>-2</x:v>
      </x:c>
      <x:c r="C32" s="92" t="n">
        <x:v>1.2841114831491165</x:v>
      </x:c>
      <x:c r="D32" s="92" t="n">
        <x:v>1.2575915037573657</x:v>
      </x:c>
    </x:row>
    <x:row r="33" ht="15" hidden="0" customHeight="1">
      <x:c r="A33" s="92" t="n">
        <x:v>1</x:v>
      </x:c>
      <x:c r="B33" s="92" t="n">
        <x:v>-1</x:v>
      </x:c>
      <x:c r="C33" s="92" t="n">
        <x:v>1.285777881012225</x:v>
      </x:c>
      <x:c r="D33" s="92" t="n">
        <x:v>1.2593846859545421</x:v>
      </x:c>
    </x:row>
    <x:row r="34" ht="15" hidden="0" customHeight="1">
      <x:c r="A34" s="92" t="n">
        <x:v>1</x:v>
      </x:c>
      <x:c r="B34" s="92" t="n">
        <x:v>0</x:v>
      </x:c>
      <x:c r="C34" s="92" t="n">
        <x:v>1.28783317111375</x:v>
      </x:c>
      <x:c r="D34" s="92" t="n">
        <x:v>1.2611645791999746</x:v>
      </x:c>
    </x:row>
    <x:row r="35" ht="15" hidden="0" customHeight="1">
      <x:c r="A35" s="92" t="n">
        <x:v>1</x:v>
      </x:c>
      <x:c r="B35" s="92" t="n">
        <x:v>0.9999999999999999</x:v>
      </x:c>
      <x:c r="C35" s="92" t="n">
        <x:v>1.2901854944509838</x:v>
      </x:c>
      <x:c r="D35" s="92" t="n">
        <x:v>1.2629308580722516</x:v>
      </x:c>
    </x:row>
    <x:row r="36" ht="15" hidden="0" customHeight="1">
      <x:c r="A36" s="92" t="n">
        <x:v>1</x:v>
      </x:c>
      <x:c r="B36" s="92" t="n">
        <x:v>2</x:v>
      </x:c>
      <x:c r="C36" s="92" t="n">
        <x:v>1.2927587275379937</x:v>
      </x:c>
      <x:c r="D36" s="92" t="n">
        <x:v>1.2646832386196378</x:v>
      </x:c>
    </x:row>
    <x:row r="37" ht="15" hidden="0" customHeight="1">
      <x:c r="A37" s="92" t="n">
        <x:v>1.5</x:v>
      </x:c>
      <x:c r="B37" s="92" t="n">
        <x:v>-2</x:v>
      </x:c>
      <x:c r="C37" s="92" t="n">
        <x:v>1.301231754583293</x:v>
      </x:c>
      <x:c r="D37" s="92" t="n">
        <x:v>1.262698994217039</x:v>
      </x:c>
    </x:row>
    <x:row r="38" ht="15" hidden="0" customHeight="1">
      <x:c r="A38" s="92" t="n">
        <x:v>1.5</x:v>
      </x:c>
      <x:c r="B38" s="92" t="n">
        <x:v>-1</x:v>
      </x:c>
      <x:c r="C38" s="92" t="n">
        <x:v>1.3032283707784826</x:v>
      </x:c>
      <x:c r="D38" s="92" t="n">
        <x:v>1.2645225351215832</x:v>
      </x:c>
    </x:row>
    <x:row r="39" ht="15" hidden="0" customHeight="1">
      <x:c r="A39" s="92" t="n">
        <x:v>1.5</x:v>
      </x:c>
      <x:c r="B39" s="92" t="n">
        <x:v>0</x:v>
      </x:c>
      <x:c r="C39" s="92" t="n">
        <x:v>1.3054251334779097</x:v>
      </x:c>
      <x:c r="D39" s="92" t="n">
        <x:v>1.2663304618480196</x:v>
      </x:c>
    </x:row>
    <x:row r="40" ht="15" hidden="0" customHeight="1">
      <x:c r="A40" s="92" t="n">
        <x:v>1.5</x:v>
      </x:c>
      <x:c r="B40" s="92" t="n">
        <x:v>0.9999999999999999</x:v>
      </x:c>
      <x:c r="C40" s="92" t="n">
        <x:v>1.3077817907432636</x:v>
      </x:c>
      <x:c r="D40" s="92" t="n">
        <x:v>1.2681225665404707</x:v>
      </x:c>
    </x:row>
    <x:row r="41" ht="15" hidden="0" customHeight="1">
      <x:c r="A41" s="92" t="n">
        <x:v>1.5</x:v>
      </x:c>
      <x:c r="B41" s="92" t="n">
        <x:v>2</x:v>
      </x:c>
      <x:c r="C41" s="92" t="n">
        <x:v>1.310264878751672</x:v>
      </x:c>
      <x:c r="D41" s="92" t="n">
        <x:v>1.2698986765871867</x:v>
      </x:c>
    </x:row>
    <x:row r="42" ht="15" hidden="0" customHeight="1">
      <x:c r="A42" s="92" t="n">
        <x:v>2</x:v>
      </x:c>
      <x:c r="B42" s="92" t="n">
        <x:v>-2</x:v>
      </x:c>
      <x:c r="C42" s="92" t="n">
        <x:v>1.3188030395394739</x:v>
      </x:c>
      <x:c r="D42" s="92" t="n">
        <x:v>1.2682935225888439</x:v>
      </x:c>
    </x:row>
    <x:row r="43" ht="15" hidden="0" customHeight="1">
      <x:c r="A43" s="92" t="n">
        <x:v>2</x:v>
      </x:c>
      <x:c r="B43" s="92" t="n">
        <x:v>-1</x:v>
      </x:c>
      <x:c r="C43" s="92" t="n">
        <x:v>1.3208733643830481</x:v>
      </x:c>
      <x:c r="D43" s="92" t="n">
        <x:v>1.2701374807389372</x:v>
      </x:c>
    </x:row>
    <x:row r="44" ht="15" hidden="0" customHeight="1">
      <x:c r="A44" s="92" t="n">
        <x:v>2</x:v>
      </x:c>
      <x:c r="B44" s="92" t="n">
        <x:v>0</x:v>
      </x:c>
      <x:c r="C44" s="92" t="n">
        <x:v>1.323067297464871</x:v>
      </x:c>
      <x:c r="D44" s="92" t="n">
        <x:v>1.2719637830504065</x:v>
      </x:c>
    </x:row>
    <x:row r="45" ht="15" hidden="0" customHeight="1">
      <x:c r="A45" s="92" t="n">
        <x:v>2</x:v>
      </x:c>
      <x:c r="B45" s="92" t="n">
        <x:v>0.9999999999999999</x:v>
      </x:c>
      <x:c r="C45" s="92" t="n">
        <x:v>1.3253632700540323</x:v>
      </x:c>
      <x:c r="D45" s="92" t="n">
        <x:v>1.273772329244957</x:v>
      </x:c>
    </x:row>
    <x:row r="46" ht="15" hidden="0" customHeight="1">
      <x:c r="A46" s="92" t="n">
        <x:v>2</x:v>
      </x:c>
      <x:c r="B46" s="92" t="n">
        <x:v>2</x:v>
      </x:c>
      <x:c r="C46" s="92" t="n">
        <x:v>1.327741465200419</x:v>
      </x:c>
      <x:c r="D46" s="92" t="n">
        <x:v>1.2755630484669886</x:v>
      </x:c>
    </x:row>
  </x:sheetData>
  <x:conditionalFormatting sqref="C2:C46">
    <x:cfRule type="colorScale" priority="1">
      <x:colorScale>
        <x:cfvo type="min"/>
        <x:cfvo type="percentile" val="50"/>
        <x:cfvo type="max"/>
        <x:color rgb="FFDDF3EF"/>
        <x:color rgb="FFFFF4D6"/>
        <x:color rgb="FFF8D7D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bfb8b742a324b59"/>
  </x:tableParts>
</x:worksheet>
</file>